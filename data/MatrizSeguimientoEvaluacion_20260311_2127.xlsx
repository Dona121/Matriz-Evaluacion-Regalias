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epartamentodesucre.sharepoint.com/sites/SeguimientoRegalas/Documentos compartidos/Regalías/GESTION Y SEGUIMIENTO SGR/"/>
    </mc:Choice>
  </mc:AlternateContent>
  <xr:revisionPtr revIDLastSave="23" documentId="11_7F7C4E8459B100A1C535B6B72639F598B53CF5BA" xr6:coauthVersionLast="47" xr6:coauthVersionMax="47" xr10:uidLastSave="{3526D047-9D5A-4195-B9D4-8F310D84FDF6}"/>
  <bookViews>
    <workbookView xWindow="-108" yWindow="-108" windowWidth="23256" windowHeight="12456" xr2:uid="{00000000-000D-0000-FFFF-FFFF00000000}"/>
  </bookViews>
  <sheets>
    <sheet name="MatrizSeguimientoEvaluacion" sheetId="1" r:id="rId1"/>
    <sheet name="OtrosEjecutoresDescentralizadas" sheetId="2" r:id="rId2"/>
    <sheet name="OtrosEjecutoresMunicipi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7" i="2" l="1"/>
  <c r="AI17" i="2"/>
  <c r="AD17" i="2"/>
  <c r="AC17" i="2"/>
  <c r="AB17" i="2"/>
  <c r="AA17" i="2"/>
  <c r="AJ16" i="2"/>
  <c r="AI16" i="2"/>
  <c r="AD16" i="2"/>
  <c r="AC16" i="2"/>
  <c r="AB16" i="2"/>
  <c r="AA16" i="2"/>
  <c r="AJ15" i="2"/>
  <c r="AI15" i="2"/>
  <c r="AD15" i="2"/>
  <c r="AC15" i="2"/>
  <c r="AB15" i="2"/>
  <c r="AA15" i="2"/>
  <c r="AJ14" i="2"/>
  <c r="AI14" i="2"/>
  <c r="AD14" i="2"/>
  <c r="AC14" i="2"/>
  <c r="AB14" i="2"/>
  <c r="AA14" i="2"/>
  <c r="AJ13" i="2"/>
  <c r="AI13" i="2"/>
  <c r="AD13" i="2"/>
  <c r="AC13" i="2"/>
  <c r="AB13" i="2"/>
  <c r="AA13" i="2"/>
  <c r="AJ12" i="2"/>
  <c r="AI12" i="2"/>
  <c r="AD12" i="2"/>
  <c r="AC12" i="2"/>
  <c r="AB12" i="2"/>
  <c r="AA12" i="2"/>
  <c r="AJ11" i="2"/>
  <c r="AI11" i="2"/>
  <c r="AD11" i="2"/>
  <c r="AC11" i="2"/>
  <c r="AB11" i="2"/>
  <c r="AA11" i="2"/>
  <c r="AJ10" i="2"/>
  <c r="AI10" i="2"/>
  <c r="AD10" i="2"/>
  <c r="AC10" i="2"/>
  <c r="AB10" i="2"/>
  <c r="AA10" i="2"/>
  <c r="AJ9" i="2"/>
  <c r="AI9" i="2"/>
  <c r="AD9" i="2"/>
  <c r="AC9" i="2"/>
  <c r="AB9" i="2"/>
  <c r="AA9" i="2"/>
  <c r="AJ8" i="2"/>
  <c r="AI8" i="2"/>
  <c r="AD8" i="2"/>
  <c r="AC8" i="2"/>
  <c r="AB8" i="2"/>
  <c r="AA8" i="2"/>
  <c r="AJ7" i="2"/>
  <c r="AI7" i="2"/>
  <c r="AD7" i="2"/>
  <c r="AC7" i="2"/>
  <c r="AB7" i="2"/>
  <c r="AA7" i="2"/>
  <c r="AJ6" i="2"/>
  <c r="AI6" i="2"/>
  <c r="AD6" i="2"/>
  <c r="AC6" i="2"/>
  <c r="AB6" i="2"/>
  <c r="AA6" i="2"/>
  <c r="AJ5" i="2"/>
  <c r="AI5" i="2"/>
  <c r="AD5" i="2"/>
  <c r="AC5" i="2"/>
  <c r="AB5" i="2"/>
  <c r="AA5" i="2"/>
  <c r="AJ4" i="2"/>
  <c r="AI4" i="2"/>
  <c r="AD4" i="2"/>
  <c r="AC4" i="2"/>
  <c r="AB4" i="2"/>
  <c r="AA4" i="2"/>
  <c r="AJ3" i="2"/>
  <c r="AI3" i="2"/>
  <c r="AD3" i="2"/>
  <c r="AC3" i="2"/>
  <c r="AB3" i="2"/>
  <c r="AA3" i="2"/>
  <c r="AU57" i="1"/>
  <c r="AT57" i="1"/>
  <c r="AR57" i="1"/>
  <c r="AO57" i="1"/>
  <c r="AN57" i="1"/>
  <c r="AM57" i="1"/>
  <c r="AL57" i="1"/>
  <c r="AU56" i="1"/>
  <c r="AT56" i="1"/>
  <c r="AR56" i="1"/>
  <c r="AO56" i="1"/>
  <c r="AN56" i="1"/>
  <c r="AM56" i="1"/>
  <c r="AL56" i="1"/>
  <c r="AU55" i="1"/>
  <c r="AT55" i="1"/>
  <c r="AR55" i="1"/>
  <c r="AO55" i="1"/>
  <c r="AN55" i="1"/>
  <c r="AM55" i="1"/>
  <c r="AL55" i="1"/>
  <c r="AU54" i="1"/>
  <c r="AT54" i="1"/>
  <c r="AR54" i="1"/>
  <c r="AO54" i="1"/>
  <c r="AN54" i="1"/>
  <c r="AM54" i="1"/>
  <c r="AL54" i="1"/>
  <c r="AU53" i="1"/>
  <c r="AT53" i="1"/>
  <c r="AR53" i="1"/>
  <c r="AO53" i="1"/>
  <c r="AN53" i="1"/>
  <c r="AM53" i="1"/>
  <c r="AL53" i="1"/>
  <c r="AU52" i="1"/>
  <c r="AT52" i="1"/>
  <c r="AR52" i="1"/>
  <c r="AO52" i="1"/>
  <c r="AN52" i="1"/>
  <c r="AM52" i="1"/>
  <c r="AL52" i="1"/>
  <c r="AU51" i="1"/>
  <c r="AT51" i="1"/>
  <c r="AR51" i="1"/>
  <c r="AO51" i="1"/>
  <c r="AN51" i="1"/>
  <c r="AM51" i="1"/>
  <c r="AL51" i="1"/>
  <c r="AU50" i="1"/>
  <c r="AT50" i="1"/>
  <c r="AR50" i="1"/>
  <c r="AO50" i="1"/>
  <c r="AN50" i="1"/>
  <c r="AM50" i="1"/>
  <c r="AL50" i="1"/>
  <c r="AU49" i="1"/>
  <c r="AT49" i="1"/>
  <c r="AR49" i="1"/>
  <c r="AO49" i="1"/>
  <c r="AN49" i="1"/>
  <c r="AM49" i="1"/>
  <c r="AL49" i="1"/>
  <c r="AU48" i="1"/>
  <c r="AT48" i="1"/>
  <c r="AR48" i="1"/>
  <c r="AO48" i="1"/>
  <c r="AN48" i="1"/>
  <c r="AM48" i="1"/>
  <c r="AL48" i="1"/>
  <c r="AU47" i="1"/>
  <c r="AT47" i="1"/>
  <c r="AR47" i="1"/>
  <c r="AO47" i="1"/>
  <c r="AN47" i="1"/>
  <c r="AM47" i="1"/>
  <c r="AL47" i="1"/>
  <c r="AU46" i="1"/>
  <c r="AT46" i="1"/>
  <c r="AR46" i="1"/>
  <c r="AO46" i="1"/>
  <c r="AN46" i="1"/>
  <c r="AM46" i="1"/>
  <c r="AL46" i="1"/>
  <c r="AU45" i="1"/>
  <c r="AT45" i="1"/>
  <c r="AR45" i="1"/>
  <c r="AO45" i="1"/>
  <c r="AN45" i="1"/>
  <c r="AM45" i="1"/>
  <c r="AL45" i="1"/>
  <c r="AU44" i="1"/>
  <c r="AT44" i="1"/>
  <c r="AR44" i="1"/>
  <c r="AO44" i="1"/>
  <c r="AN44" i="1"/>
  <c r="AM44" i="1"/>
  <c r="AL44" i="1"/>
  <c r="AU43" i="1"/>
  <c r="AT43" i="1"/>
  <c r="AR43" i="1"/>
  <c r="AO43" i="1"/>
  <c r="AN43" i="1"/>
  <c r="AM43" i="1"/>
  <c r="AL43" i="1"/>
  <c r="AU42" i="1"/>
  <c r="AT42" i="1"/>
  <c r="AR42" i="1"/>
  <c r="AO42" i="1"/>
  <c r="AN42" i="1"/>
  <c r="AM42" i="1"/>
  <c r="AL42" i="1"/>
  <c r="AU41" i="1"/>
  <c r="AT41" i="1"/>
  <c r="AR41" i="1"/>
  <c r="AO41" i="1"/>
  <c r="AN41" i="1"/>
  <c r="AM41" i="1"/>
  <c r="AL41" i="1"/>
  <c r="AU40" i="1"/>
  <c r="AT40" i="1"/>
  <c r="AR40" i="1"/>
  <c r="AO40" i="1"/>
  <c r="AN40" i="1"/>
  <c r="AM40" i="1"/>
  <c r="AL40" i="1"/>
  <c r="AU39" i="1"/>
  <c r="AT39" i="1"/>
  <c r="AR39" i="1"/>
  <c r="AO39" i="1"/>
  <c r="AN39" i="1"/>
  <c r="AM39" i="1"/>
  <c r="AL39" i="1"/>
  <c r="AU38" i="1"/>
  <c r="AT38" i="1"/>
  <c r="AR38" i="1"/>
  <c r="AO38" i="1"/>
  <c r="AN38" i="1"/>
  <c r="AM38" i="1"/>
  <c r="AL38" i="1"/>
  <c r="AU37" i="1"/>
  <c r="AT37" i="1"/>
  <c r="AR37" i="1"/>
  <c r="AO37" i="1"/>
  <c r="AN37" i="1"/>
  <c r="AM37" i="1"/>
  <c r="AL37" i="1"/>
  <c r="AU36" i="1"/>
  <c r="AT36" i="1"/>
  <c r="AR36" i="1"/>
  <c r="AO36" i="1"/>
  <c r="AN36" i="1"/>
  <c r="AM36" i="1"/>
  <c r="AL36" i="1"/>
  <c r="AU35" i="1"/>
  <c r="AT35" i="1"/>
  <c r="AR35" i="1"/>
  <c r="AO35" i="1"/>
  <c r="AN35" i="1"/>
  <c r="AM35" i="1"/>
  <c r="AL35" i="1"/>
  <c r="AU34" i="1"/>
  <c r="AT34" i="1"/>
  <c r="AR34" i="1"/>
  <c r="AO34" i="1"/>
  <c r="AN34" i="1"/>
  <c r="AM34" i="1"/>
  <c r="AL34" i="1"/>
  <c r="AU33" i="1"/>
  <c r="AT33" i="1"/>
  <c r="AR33" i="1"/>
  <c r="AO33" i="1"/>
  <c r="AN33" i="1"/>
  <c r="AM33" i="1"/>
  <c r="AL33" i="1"/>
  <c r="AU32" i="1"/>
  <c r="AT32" i="1"/>
  <c r="AR32" i="1"/>
  <c r="AO32" i="1"/>
  <c r="AN32" i="1"/>
  <c r="AM32" i="1"/>
  <c r="AL32" i="1"/>
  <c r="AU31" i="1"/>
  <c r="AT31" i="1"/>
  <c r="AR31" i="1"/>
  <c r="AO31" i="1"/>
  <c r="AN31" i="1"/>
  <c r="AM31" i="1"/>
  <c r="AL31" i="1"/>
  <c r="AU30" i="1"/>
  <c r="AT30" i="1"/>
  <c r="AR30" i="1"/>
  <c r="AO30" i="1"/>
  <c r="AN30" i="1"/>
  <c r="AM30" i="1"/>
  <c r="AL30" i="1"/>
  <c r="AU29" i="1"/>
  <c r="AT29" i="1"/>
  <c r="AR29" i="1"/>
  <c r="AO29" i="1"/>
  <c r="AN29" i="1"/>
  <c r="AM29" i="1"/>
  <c r="AL29" i="1"/>
  <c r="AU28" i="1"/>
  <c r="AT28" i="1"/>
  <c r="AR28" i="1"/>
  <c r="AO28" i="1"/>
  <c r="AN28" i="1"/>
  <c r="AM28" i="1"/>
  <c r="AL28" i="1"/>
  <c r="AU27" i="1"/>
  <c r="AT27" i="1"/>
  <c r="AR27" i="1"/>
  <c r="AO27" i="1"/>
  <c r="AN27" i="1"/>
  <c r="AM27" i="1"/>
  <c r="AL27" i="1"/>
  <c r="AU26" i="1"/>
  <c r="AT26" i="1"/>
  <c r="AR26" i="1"/>
  <c r="AO26" i="1"/>
  <c r="AN26" i="1"/>
  <c r="AM26" i="1"/>
  <c r="AL26" i="1"/>
  <c r="AU25" i="1"/>
  <c r="AT25" i="1"/>
  <c r="AR25" i="1"/>
  <c r="AO25" i="1"/>
  <c r="AN25" i="1"/>
  <c r="AM25" i="1"/>
  <c r="AL25" i="1"/>
  <c r="AU24" i="1"/>
  <c r="AT24" i="1"/>
  <c r="AR24" i="1"/>
  <c r="AO24" i="1"/>
  <c r="AN24" i="1"/>
  <c r="AM24" i="1"/>
  <c r="AL24" i="1"/>
  <c r="AU23" i="1"/>
  <c r="AT23" i="1"/>
  <c r="AR23" i="1"/>
  <c r="AO23" i="1"/>
  <c r="AN23" i="1"/>
  <c r="AM23" i="1"/>
  <c r="AL23" i="1"/>
  <c r="AU22" i="1"/>
  <c r="AT22" i="1"/>
  <c r="AR22" i="1"/>
  <c r="AO22" i="1"/>
  <c r="AN22" i="1"/>
  <c r="AM22" i="1"/>
  <c r="AL22" i="1"/>
  <c r="AU21" i="1"/>
  <c r="AT21" i="1"/>
  <c r="AR21" i="1"/>
  <c r="AO21" i="1"/>
  <c r="AN21" i="1"/>
  <c r="AM21" i="1"/>
  <c r="AL21" i="1"/>
  <c r="AU20" i="1"/>
  <c r="AT20" i="1"/>
  <c r="AR20" i="1"/>
  <c r="AO20" i="1"/>
  <c r="AN20" i="1"/>
  <c r="AM20" i="1"/>
  <c r="AL20" i="1"/>
  <c r="AU19" i="1"/>
  <c r="AT19" i="1"/>
  <c r="AR19" i="1"/>
  <c r="AO19" i="1"/>
  <c r="AN19" i="1"/>
  <c r="AM19" i="1"/>
  <c r="AL19" i="1"/>
  <c r="AU18" i="1"/>
  <c r="AT18" i="1"/>
  <c r="AR18" i="1"/>
  <c r="AO18" i="1"/>
  <c r="AN18" i="1"/>
  <c r="AM18" i="1"/>
  <c r="AL18" i="1"/>
  <c r="AU17" i="1"/>
  <c r="AT17" i="1"/>
  <c r="AR17" i="1"/>
  <c r="AO17" i="1"/>
  <c r="AN17" i="1"/>
  <c r="AM17" i="1"/>
  <c r="AL17" i="1"/>
  <c r="AU16" i="1"/>
  <c r="AT16" i="1"/>
  <c r="AR16" i="1"/>
  <c r="AO16" i="1"/>
  <c r="AN16" i="1"/>
  <c r="AM16" i="1"/>
  <c r="AL16" i="1"/>
  <c r="AU15" i="1"/>
  <c r="AT15" i="1"/>
  <c r="AR15" i="1"/>
  <c r="AN15" i="1"/>
  <c r="AO15" i="1" s="1"/>
  <c r="AM15" i="1"/>
  <c r="AL15" i="1"/>
  <c r="AU14" i="1"/>
  <c r="AT14" i="1"/>
  <c r="AR14" i="1"/>
  <c r="AO14" i="1"/>
  <c r="AN14" i="1"/>
  <c r="AM14" i="1"/>
  <c r="AL14" i="1"/>
  <c r="AU13" i="1"/>
  <c r="AT13" i="1"/>
  <c r="AR13" i="1"/>
  <c r="AO13" i="1"/>
  <c r="AN13" i="1"/>
  <c r="AM13" i="1"/>
  <c r="AL13" i="1"/>
  <c r="AU12" i="1"/>
  <c r="AT12" i="1"/>
  <c r="AR12" i="1"/>
  <c r="AO12" i="1"/>
  <c r="AN12" i="1"/>
  <c r="AM12" i="1"/>
  <c r="AL12" i="1"/>
  <c r="AU11" i="1"/>
  <c r="AT11" i="1"/>
  <c r="AR11" i="1"/>
  <c r="AN11" i="1"/>
  <c r="AO11" i="1" s="1"/>
  <c r="AM11" i="1"/>
  <c r="AL11" i="1"/>
  <c r="AU10" i="1"/>
  <c r="AT10" i="1"/>
  <c r="AR10" i="1"/>
  <c r="AO10" i="1"/>
  <c r="AN10" i="1"/>
  <c r="AM10" i="1"/>
  <c r="AL10" i="1"/>
  <c r="AU9" i="1"/>
  <c r="AT9" i="1"/>
  <c r="AR9" i="1"/>
  <c r="AN9" i="1"/>
  <c r="AO9" i="1" s="1"/>
  <c r="AM9" i="1"/>
  <c r="AL9" i="1"/>
  <c r="AU8" i="1"/>
  <c r="AT8" i="1"/>
  <c r="AR8" i="1"/>
  <c r="AO8" i="1"/>
  <c r="AN8" i="1"/>
  <c r="AM8" i="1"/>
  <c r="AL8" i="1"/>
  <c r="AU7" i="1"/>
  <c r="AT7" i="1"/>
  <c r="AR7" i="1"/>
  <c r="AO7" i="1"/>
  <c r="AN7" i="1"/>
  <c r="AM7" i="1"/>
  <c r="AL7" i="1"/>
  <c r="AU6" i="1"/>
  <c r="AT6" i="1"/>
  <c r="AR6" i="1"/>
  <c r="AO6" i="1"/>
  <c r="AN6" i="1"/>
  <c r="AM6" i="1"/>
  <c r="AL6" i="1"/>
  <c r="AU5" i="1"/>
  <c r="AT5" i="1"/>
  <c r="AR5" i="1"/>
  <c r="AO5" i="1"/>
  <c r="AN5" i="1"/>
  <c r="AM5" i="1"/>
  <c r="AL5" i="1"/>
  <c r="AU4" i="1"/>
  <c r="AT4" i="1"/>
  <c r="AR4" i="1"/>
  <c r="AO4" i="1"/>
  <c r="AN4" i="1"/>
  <c r="AM4" i="1"/>
  <c r="AL4" i="1"/>
  <c r="AU3" i="1"/>
  <c r="AT3" i="1"/>
  <c r="AR3" i="1"/>
  <c r="AO3" i="1"/>
  <c r="AN3" i="1"/>
  <c r="AM3" i="1"/>
  <c r="AL3" i="1"/>
</calcChain>
</file>

<file path=xl/sharedStrings.xml><?xml version="1.0" encoding="utf-8"?>
<sst xmlns="http://schemas.openxmlformats.org/spreadsheetml/2006/main" count="1349" uniqueCount="662">
  <si>
    <t>DATOS GENERALES</t>
  </si>
  <si>
    <t>DATOS PARA CALIFICACIÓN</t>
  </si>
  <si>
    <t>EVALUACIÓN</t>
  </si>
  <si>
    <t>BPIN</t>
  </si>
  <si>
    <t>ENTIDAD O SECRETARIA</t>
  </si>
  <si>
    <t>NOMBRE PROYECTO</t>
  </si>
  <si>
    <t>ALCANCE DEL PROYECTO</t>
  </si>
  <si>
    <t>SECTOR</t>
  </si>
  <si>
    <t>INDICADOR DE PRODUCTO MGA</t>
  </si>
  <si>
    <t>ESTADO PROYECTO</t>
  </si>
  <si>
    <t>ESTADO CONTRATO</t>
  </si>
  <si>
    <t>TIPO CONTRATO</t>
  </si>
  <si>
    <t>FUENTE DE FINANCIACIÓN</t>
  </si>
  <si>
    <t>VALOR SGR</t>
  </si>
  <si>
    <t>VALOR NACIÓN</t>
  </si>
  <si>
    <t>VALOR OTROS</t>
  </si>
  <si>
    <t>VALOR OTRAS FUENTES NO SUIFP</t>
  </si>
  <si>
    <t>VALOR TOTAL PROYECTO</t>
  </si>
  <si>
    <t>VALOR PAGOS</t>
  </si>
  <si>
    <t>ULTIMA FECHA PAGO</t>
  </si>
  <si>
    <t>FECHA DE MIGRACIÓN A GESPROY</t>
  </si>
  <si>
    <t>FECHA DE ASIGNACIÓN DE RECURSOS</t>
  </si>
  <si>
    <t>FECHA DE INCORPORACIÓN DE RECURSOS</t>
  </si>
  <si>
    <t>AVANCE FISICO</t>
  </si>
  <si>
    <t>AVANCE FINANCIERO</t>
  </si>
  <si>
    <t>CPI</t>
  </si>
  <si>
    <t>SPI</t>
  </si>
  <si>
    <t>FECHA APROBACIÓN PROYECTO</t>
  </si>
  <si>
    <t>FECHA DE APERTURA DEL PRIMER PROCESO</t>
  </si>
  <si>
    <t>FECHA SUSCRIPCION</t>
  </si>
  <si>
    <t>FECHA ACTA INICIO</t>
  </si>
  <si>
    <t>HORIZONTE DEL PROYECTO</t>
  </si>
  <si>
    <t>FECHA DE FINALIZACIÓN</t>
  </si>
  <si>
    <t>FECHA DE CORTE GESPROY</t>
  </si>
  <si>
    <t>INFORMACIÓN SOLICITADA</t>
  </si>
  <si>
    <t>INFORMACIÓN RECIBIDA</t>
  </si>
  <si>
    <t>FECHA DE RECIBO DE INFORMACIÓN</t>
  </si>
  <si>
    <t>DIAS DESDE LA APROBACIÓN HASTA APERTURA DEL PRIMER PROCESO</t>
  </si>
  <si>
    <t>DIAS DESDE LA APERTURA HASTA LA FIRMA DEL PRIMER CONTRATO</t>
  </si>
  <si>
    <t>DIAS DESDE LA FECHA DE SUSCRIPCIÓN HASTA LA FECHA DEL ACTA DE INICIO</t>
  </si>
  <si>
    <t>DESEMPEÑO EN EL CRONOGRAMA</t>
  </si>
  <si>
    <t>DESEMPEÑO EN EL COSTO</t>
  </si>
  <si>
    <t>COLUMNA APOYO</t>
  </si>
  <si>
    <t>BRECHA FISICO - FINANCIERA</t>
  </si>
  <si>
    <t>CONTROL EXTERNALIDADES</t>
  </si>
  <si>
    <t>CALIFICACIÓN DESEMPEÑO EN LA CONTRATACIÓN</t>
  </si>
  <si>
    <t>CALIFICACIÓN INFORMACIÓN A TIEMPO</t>
  </si>
  <si>
    <t>CALIFICACIÓN CALIDAD INFORMACIÓN</t>
  </si>
  <si>
    <t>COLUMNA APOYO 2</t>
  </si>
  <si>
    <t>CALIFICACIÓN EJECUCIÓN DEL PROYECTO</t>
  </si>
  <si>
    <t>COMENTARIOS CALIFICACIÓN</t>
  </si>
  <si>
    <t>Educación</t>
  </si>
  <si>
    <t>ADECUACIÓN DE LA SEDE PARA EL MUSEO ARQUEOLoGICO DE SUCRE Y LA IMPLEMENTACIoN DE ACCIONES PARA EL FORTALECIMIENTO DE LA IDENTIDAD Y LA VALORACIoN DEL PATRIMONIO CULTURAL DE SUCRE</t>
  </si>
  <si>
    <t>CULTURA</t>
  </si>
  <si>
    <t>CONTRATADO EN EJECUCIÓN</t>
  </si>
  <si>
    <t xml:space="preserve">Liquidado                                                             </t>
  </si>
  <si>
    <t>Suministro</t>
  </si>
  <si>
    <t xml:space="preserve">SGR - Asignación para la inversión regional 60% </t>
  </si>
  <si>
    <t>Salud</t>
  </si>
  <si>
    <t>INVESTIGACIÓN INSTITUTO INVESTIGACIONES BIOMeDICAS DEL CARIBE. DEPARTAMENTO DE SUCRE</t>
  </si>
  <si>
    <t>CIENCIA, TECNOLOGÍA E INNOVACIÓN</t>
  </si>
  <si>
    <t xml:space="preserve">Terminado                                                             </t>
  </si>
  <si>
    <t>Convenios de Cooperación</t>
  </si>
  <si>
    <t xml:space="preserve">SGR - Asignación para la inversión en ciencia, tecnología e innovación </t>
  </si>
  <si>
    <t>2013000100022</t>
  </si>
  <si>
    <t>Desarrollo Económico</t>
  </si>
  <si>
    <t>Implementación DE UN PROGRAMA PARA EL DESARROLLO DE PRODUCTOS BIOTECNOLoGICOS PARA EL SECTOR AGRiCOLA EN EL DPTO DE SUCRE.</t>
  </si>
  <si>
    <t>TERMINADO</t>
  </si>
  <si>
    <t>2013000100074</t>
  </si>
  <si>
    <t>Implementación PROGRAMA DE FORMACIoN DE CAPACIDADES EN CIENCIA, TECNOLOGiA E INNOVACIoN EN EL DEPARTAMENTO DE SUCRE, CARIBE</t>
  </si>
  <si>
    <t xml:space="preserve">En ejecución                                                          </t>
  </si>
  <si>
    <t>2016000020007</t>
  </si>
  <si>
    <t>Infraestructura</t>
  </si>
  <si>
    <t>REHABILITACIÓN DE LA VIA SUCRE - LA GUARIPA - EL CAUCHAL, MUNICIPIOS DE SUCRE,  MAJAGUAL Y SAN BENITO ABAD EN EL DEPARTAMENTO DE SUCRE</t>
  </si>
  <si>
    <t>TRANSPORTE</t>
  </si>
  <si>
    <t>Obra pública</t>
  </si>
  <si>
    <t>SGR - Asignación para la inversión regional 60%</t>
  </si>
  <si>
    <t>02/02/204</t>
  </si>
  <si>
    <t>2016000100048</t>
  </si>
  <si>
    <t>FORTALECIMIENTO DE CAPACIDADES EN CTEI EN NIÑOS, NIÑAS Y JOVENES DE LOS ESTABLECIMIENTOS EDUCATIVOS A TRAVES DEL PROGRAMA ONDAS EN EL DEPARTAMENTO DE SUCRE</t>
  </si>
  <si>
    <t>20170000020006</t>
  </si>
  <si>
    <t>MEJORAMIENTO EN PAVIMENTO ASFALTICO DE LA VÍA LAS TABLITAS - SAN MARCOS, MUNICIPIOS DE  EL ROBLE, CAIMITO Y SAN MARCOS,  DEPARTAMENTO DE  SUCRE</t>
  </si>
  <si>
    <t>2017000100029</t>
  </si>
  <si>
    <t>Aplicación de técnicas de ingeniería que aumente la resiliencia de los agroecosistemas a la variabilidad climática en el Departamento de   Sucre</t>
  </si>
  <si>
    <t>Interadministrativos</t>
  </si>
  <si>
    <t>2017000100035</t>
  </si>
  <si>
    <t>INVESTIGACIÓN DE LA EFECTIVIDAD Y EFICIENCIA DE LA FICOREMEDIACIÓN PARA LA RECUPERACIÓN DE UN ECOSISTEMA HÍDRICO Y SU CAPACIDAD PRODUCTIVA EN EL DEPARTAMENTO DE  SUCRE</t>
  </si>
  <si>
    <t>2017002700058</t>
  </si>
  <si>
    <t>MEJORAMIENTO EN PAVIMENTO ASFÁLTICO DE LA VÍA BERRUGAS - SAN ONOFRE  Y RAMAL RINCÓN DEL MAR, MUNICIPIO DE SAN ONOFRE, DEPARTAMENTO DE     SUCRE</t>
  </si>
  <si>
    <t>2020000020058</t>
  </si>
  <si>
    <t>Implementación de agronegocios hortofrutícolas intensivos con pequeños productores de los municipios de Sucre Guaranda y Majagual en el departamento de  Sucre</t>
  </si>
  <si>
    <t>AGRICULTURA Y DESARROLLO RURAL</t>
  </si>
  <si>
    <t xml:space="preserve">Interventoría                                                         </t>
  </si>
  <si>
    <t xml:space="preserve">Departamento de Sucre, SGR - Asiganacion para la inversion regional 40% </t>
  </si>
  <si>
    <t>2020000020076</t>
  </si>
  <si>
    <t>Elaboración del Plan Vial departamental y los Planes Viales municipales de la red vial secundaria y terciaria en el departamento de  Sucre</t>
  </si>
  <si>
    <t>Consultoría</t>
  </si>
  <si>
    <t>2020000100644</t>
  </si>
  <si>
    <t>Implementación de estrategias para la adopción de procesos de innovación en las unidades productivas agropecuarias que atiendan las problemáticas derivadas por la emergencia económica social y ecológica por el COVID-19 en el departamento de  Sucre</t>
  </si>
  <si>
    <t>SGR - Asignación para la inversión en ciencia, tecnología e innovación</t>
  </si>
  <si>
    <t>2020002700073</t>
  </si>
  <si>
    <t>Fortalecimiento  A ORGANIZACIONES DE PESCADORES ARTESANALES MEDIANTE DOTACIÓN DE EQUIPOS DE PESCA ASISTENCIA TÉCNICA Y REPOBLAMIENTO DE BOCACHICO EN LOS COMPLEJOS CENAGOSOS DE LA SUBREGIÓN SAN JORGE Y LA MOJANA  DEL DEPARTAMENTO DE   Sucre</t>
  </si>
  <si>
    <t>Prestación de Servicios</t>
  </si>
  <si>
    <t>2021000020052</t>
  </si>
  <si>
    <t>Mejoramiento en pavimento rígido de la vía la unión -limites con córdoba en el departamento de  Sucre</t>
  </si>
  <si>
    <t>SGR - Asignación para la inversión regional 40%</t>
  </si>
  <si>
    <t>2021000100333</t>
  </si>
  <si>
    <t>Fortalecimiento de las capacidades en CTeI mediante la apropiación social del conocimiento para impulsar el desarrollo productivo y las industrias creativas en el departamento de  Sucre</t>
  </si>
  <si>
    <t>SGR - Asignación para la inversión en ciencia, tecnología e innovación - Convocatorias</t>
  </si>
  <si>
    <t>2021000100361</t>
  </si>
  <si>
    <t>Fortalecimiento de establecimientos educativos oficiales que implementen la jornada única mediante la apropiación social del conocimiento para desarrollar capacidades y habilidades en CTeI en el departamento de  Sucre</t>
  </si>
  <si>
    <t>2021000100370</t>
  </si>
  <si>
    <t>Incremento  de la innovación y desarrollo tecnológico en el tejido empresarial para el fortalecimiento de la competitividad del departamento de  Sucre</t>
  </si>
  <si>
    <t>2021000100520</t>
  </si>
  <si>
    <t>Fortalecimiento de Capacidades en CTeI para la conservación preservación y restauración de los ecosistemas a través de la consolidación de negocios verdes en el Departamento de   Sucre</t>
  </si>
  <si>
    <t xml:space="preserve">Suspendido                                                            </t>
  </si>
  <si>
    <t>SGR - Asignación para la ciencia, tecnología e innovación – Convocatorias 2021 -Ambiente y desarrollo sostenible</t>
  </si>
  <si>
    <t>2021002700109</t>
  </si>
  <si>
    <t>Construcción del Laboratorio de salud pública del Departamento de  Sucre</t>
  </si>
  <si>
    <t>SALUD Y PROTECCIÓN SOCIAL</t>
  </si>
  <si>
    <t>2021002700138</t>
  </si>
  <si>
    <t>Construcción de pavimento en concreto rígido en vías urbanas del barrio villa angela en el municipio de Sincelejo departamento de  Sucre</t>
  </si>
  <si>
    <t>PARA CIERRE</t>
  </si>
  <si>
    <t>2021002700163</t>
  </si>
  <si>
    <t>Estudios  y diseños para la construcción y dotación de una estación de bomberos en el municipio de Santiago de Tolú Departamento de  Sucre</t>
  </si>
  <si>
    <t>GOBIERNO TERRITORIAL</t>
  </si>
  <si>
    <t>Compraventa</t>
  </si>
  <si>
    <t>2021002700184</t>
  </si>
  <si>
    <t>Apoyo a la asociatividad para el Desarrollo Sostenible del Sector Productivo en el municipio de Sincelejo del departamento de  Sucre</t>
  </si>
  <si>
    <t>COMERCIO, INDUSTRIA Y TURISMO</t>
  </si>
  <si>
    <t>2021002700364</t>
  </si>
  <si>
    <t>Rehabilitación Y MEJORAMIENTO DE LA ZONA TURÍSTICA DE LA AVENIDA PRIMERA FASE II ENTRE LA CALLE 15 Y LA CALLE 25 DEL MUNICIPIO DE SANTIAGO DE TOLÚ DEPARTAMENTO DE  Sucre</t>
  </si>
  <si>
    <t>2022000020011</t>
  </si>
  <si>
    <t>Inclusión Social</t>
  </si>
  <si>
    <t>Implementación de las rutas de emprendimiento y empleabilidad en el marco de la estrategia Sucre Escucha en el departamento de     Sucre</t>
  </si>
  <si>
    <t>INCLUSIÓN SOCIAL Y RECONCILIACIÓN</t>
  </si>
  <si>
    <t>2022000020043</t>
  </si>
  <si>
    <t>Mejoramiento de vías urbanas en los Municipios de Colosó y Morroa Departamento de    Sucre</t>
  </si>
  <si>
    <t>2022002700005</t>
  </si>
  <si>
    <t>Estudios y diseños para la construcción y dotación del centro multipropósito en el municipio de  Santiago de Tolú Sucre</t>
  </si>
  <si>
    <t>2022002700147</t>
  </si>
  <si>
    <t>Construcción del malecón y adecuación de la avenida primera del municipio de  Sucre</t>
  </si>
  <si>
    <t>2023002700029</t>
  </si>
  <si>
    <t>Construcción de parques lineales en las Calles 28 y 29 entre Carreras 26 Y 27 en la zona urbana del municipio de Corozal departamento de   Sucre</t>
  </si>
  <si>
    <t>DEPORTE Y RECREACIÓN</t>
  </si>
  <si>
    <t>SGR - Asignaciones directas</t>
  </si>
  <si>
    <t>2023002700030</t>
  </si>
  <si>
    <t>Mejoramiento en Pavimento Asfáltico de la Vía Varsovia - El Delirio Municipio de Sincelejo Departamento de   Sucre</t>
  </si>
  <si>
    <t xml:space="preserve">SGR - Asignación para la inversión regional 60%           Vigencias Futuras                 </t>
  </si>
  <si>
    <t>2023002700076</t>
  </si>
  <si>
    <t>Energía</t>
  </si>
  <si>
    <t>Subsidio al cargo por conexión e instalación interna del servicio de gas natural para usuarios estrato 1 y 2 del departamento de  Sucre</t>
  </si>
  <si>
    <t>MINAS Y ENERGÍA</t>
  </si>
  <si>
    <t>2023002700077</t>
  </si>
  <si>
    <t>Construcción de unidades sanitarias para vivienda rural dispersa de los municipios de San Marcos y San Juan de Betulia en el Departamento de   Sucre</t>
  </si>
  <si>
    <t>VIVIENDA, CIUDAD Y TERRITORIO</t>
  </si>
  <si>
    <t>2023002700082</t>
  </si>
  <si>
    <t>Implementación del programa de alimentación escolar -PAE- en el Departamento de  Sucre</t>
  </si>
  <si>
    <t>EDUCACIÓN</t>
  </si>
  <si>
    <t>2023002700134</t>
  </si>
  <si>
    <t>Rehabilitación de la vía secundaria que comunica los municipios de Toluviejo  Colosó en el Departamento de   Sucre</t>
  </si>
  <si>
    <t>2023002700150</t>
  </si>
  <si>
    <t>Fortalecimiento de las líneas productivas del Maíz Mecanizado y Arroz Secano Mecanizado de los pequeños productores afectados por la ola invernal en las Subregiones San Jorge y Mojana en el departamento de  Sucre</t>
  </si>
  <si>
    <t>2023002700171</t>
  </si>
  <si>
    <t>Construcción de Obras para la Mitigación del Riesgo de Inundación y Socavación en el barrio Altos del Rosario en el Municipio de Sincelejo   Sucre</t>
  </si>
  <si>
    <t>SGR - Asignaciones Directas</t>
  </si>
  <si>
    <t>2023002700175</t>
  </si>
  <si>
    <t>Apoyo al programa de alimentación escolar -PAE- para la vigencia 2024 en los establecimientos educativos oficiales del departamento de   Sucre</t>
  </si>
  <si>
    <t xml:space="preserve">SGR - Asignación para la inversión regional 60%    
 Propios-Sucre
 SGP Alimentación Escolar                                                                    </t>
  </si>
  <si>
    <t>2023002700177</t>
  </si>
  <si>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</si>
  <si>
    <t>2024002700066</t>
  </si>
  <si>
    <t>Cofinanciación Fase 1 de Subsidios al Cargo por Conexión e Instalación Interna del Servicio de Gas Natural para Usuarios Estrato 1 Y 2 del Municipio de   Toluviejo Sucre</t>
  </si>
  <si>
    <t>2024002700151</t>
  </si>
  <si>
    <t>Construcción Etapa 1 de redes para suministro de gas domiciliario y conexión de usuarios de menores ingresos de la zona rural de San marcos y la cabecera municipal de Sucre.  Sucre</t>
  </si>
  <si>
    <t>2024002700174</t>
  </si>
  <si>
    <t>Fortalecimiento de la productividad en los cultivos de Yuca Industrial de los municipios PDET del departamento de  Sucre</t>
  </si>
  <si>
    <t>SIN CONTRATAR</t>
  </si>
  <si>
    <t>2024002700176</t>
  </si>
  <si>
    <t>Instalación de soluciones fotovoltaicas en el polideportivo del municipio de  Chalán Sucre</t>
  </si>
  <si>
    <t>2024002700177</t>
  </si>
  <si>
    <t>Construcción de estructuras de protección para la prevención y mitigación de los efectos causados por la erosión costera en el sector primera ensenada del municipio de Coveñas departamento de  Sucre</t>
  </si>
  <si>
    <t>AMBIENTE Y DESARROLLO SOSTENIBLE</t>
  </si>
  <si>
    <t>SPGR Por definir</t>
  </si>
  <si>
    <t>*SGR- Asignaciones para la inversión regional 60%</t>
  </si>
  <si>
    <t>2024002700183</t>
  </si>
  <si>
    <t>Construcción  de la casa de participación ciudadana en el municipio de Sincelejo departamento de  Sucre</t>
  </si>
  <si>
    <t>CONTRATADO SIN ACTA DE INICIO</t>
  </si>
  <si>
    <t xml:space="preserve">Contratado sin ejecución                                              </t>
  </si>
  <si>
    <t>SGR - Asignación para la inversión regional 60%
SGR - Asignaciones directas</t>
  </si>
  <si>
    <t>2024002700184</t>
  </si>
  <si>
    <t>Fortalecimiento Productivo Piscícola para la  Recuperación de Especies Nativas y  la  Seguridad Alimentaria en Asociaciones de  Pescadores Artesanales  de la Ecorregión Mojana del Departamento de   Sucre</t>
  </si>
  <si>
    <t>2025000020019</t>
  </si>
  <si>
    <t>Implementación del programa de alimentación escolar -PAE- para el segundo semestre del 2025 en el Departamento de   Sucre</t>
  </si>
  <si>
    <t>220102800: Raciones contratadas</t>
  </si>
  <si>
    <t>Inversión - Departamentos - SGR - Asignación para la inversión regional 40%</t>
  </si>
  <si>
    <t>2025000020037</t>
  </si>
  <si>
    <t>Pavimentación de la vía que conduce de la cabecera del municipio de Galeras hasta el corregimiento de Santiago Apóstol jurisdicción del municipio de San Benito Abad Departamento de  Sucre</t>
  </si>
  <si>
    <t>2025002700015</t>
  </si>
  <si>
    <t>Elaboración de estudios técnicos y jurídicos para el saneamiento de bienes baldíos urbanos con fines de titulación en municipios del departamento de  Sucre</t>
  </si>
  <si>
    <t>2025002700019</t>
  </si>
  <si>
    <t>Mejoramiento de la Institución Educativa El Mamón sede principal en el municipio de Corozal departamento de   Sucre</t>
  </si>
  <si>
    <t>220105200: Sedes educativas mejoradas</t>
  </si>
  <si>
    <t>2025002700021</t>
  </si>
  <si>
    <t>Mejoramiento de vías terciarias y secundarias en los municipios de Santiago de Tolú y Toluviejo subregión del golfo de mosrrosquillo departamento de  Sucre</t>
  </si>
  <si>
    <t>2025002700023</t>
  </si>
  <si>
    <t>Estudio y diseño para la masificación de gas combustible domiciliario por redes para la zona rural de los municipios de San Onofre San antonio de Palmito Tolú Caimito y El Roble del Departamento de Sucre.  Sucre</t>
  </si>
  <si>
    <t>2025002700025</t>
  </si>
  <si>
    <t>Cofinanciación DE SUBSIDIO AL CARGO POR CONEXIÓN CERTIFICACION PREVIA E INSTALACIÓN INTERNA DEL SERVICIO DE GAS NATURAL PARA USUARIOS ESTRATO 1 Y 2 DE LOS CORREGIMIENTOS DE BARAYA (GALERAS) Y CIENAGUITA (TOLUVIEJO) Y DE LOS SECTORESBARRIOS CASTAÑEDA (SINCELEJO) Y ARROYO SECO (TOLUVIEJO) DEL DEPARTAMENTO DE  Sucre</t>
  </si>
  <si>
    <t>210101600: Viviendas conectadas a la red local de gas combustible</t>
  </si>
  <si>
    <t>Asignaciones Directas</t>
  </si>
  <si>
    <t>2025002700033</t>
  </si>
  <si>
    <t>Estudios y diseños del proyecto denominado Consultoria para el Diagnóstico y formulacion de propuestas de intervención en infraestructura educativa oficial en municipios priorizados del departamento de  Sucre</t>
  </si>
  <si>
    <t>220103900: Estudios y diseños de infraestructura educativa elaborados</t>
  </si>
  <si>
    <t>Asignación para la inversión regional 60%</t>
  </si>
  <si>
    <t>2025002700035</t>
  </si>
  <si>
    <t>Estudios  y Diseños para la Adecuación de Infraestructura física en el Departamento de  Sucre</t>
  </si>
  <si>
    <t>170202200: Estudios de preinversión realizados</t>
  </si>
  <si>
    <t>2026002700001</t>
  </si>
  <si>
    <t>Mejoramiento en pavimento rígido y construcción de obras hidráulicas en tramos viales en las subregiones Sabana y Montes de María en el departamento de  Sucre</t>
  </si>
  <si>
    <t>EJECUTOR</t>
  </si>
  <si>
    <t>NOMBRE DEL PROYECTO</t>
  </si>
  <si>
    <t>ALCANCE</t>
  </si>
  <si>
    <t>FUENTE</t>
  </si>
  <si>
    <t xml:space="preserve">VALOR OTROS </t>
  </si>
  <si>
    <t>VALOR TOTAL</t>
  </si>
  <si>
    <t>FECHA DE INCORPORACIÓN DE RECUROS</t>
  </si>
  <si>
    <t>AVANCE FÍSICO</t>
  </si>
  <si>
    <t>CPI (DATOS DE PRUEBA)</t>
  </si>
  <si>
    <t>SPI (DATOS DE PRUEBA)</t>
  </si>
  <si>
    <t>2020700010140</t>
  </si>
  <si>
    <t>EMPRESA AGUAS DE SUCRE S.A. E.S.P.</t>
  </si>
  <si>
    <t>Optimización del interceptor venecia - los alpes en el municipio de Sincelejo</t>
  </si>
  <si>
    <t xml:space="preserve">Optimización de sistema de alcantarillado urbano en el municipio de Sincelejo en los barrios Venecia y los alpes con 1462ml de tubería PVC en diámetros de 8", 16", 18", 20" y 24" </t>
  </si>
  <si>
    <t>SGR - Asignación para la inversión local según NBI- Sincelejo
Recusos Propios - Sincelejo
Recursos Propios - Departamento de Sucre</t>
  </si>
  <si>
    <t>2020700010143</t>
  </si>
  <si>
    <t>EMPRESA AGUAS DE SUCRE S.A. E.S.P</t>
  </si>
  <si>
    <t>Construcción de redes de alcantarillado sanitario en el barrio puerta roja del municipio de Sincelejo Sincelejo</t>
  </si>
  <si>
    <t xml:space="preserve">Construcción de red de alcantarillado sanitario en el barrio puerta roja del municipio de Sincelejo, con 2125 ml de tubería de PVC de 6" y 8" de diámetro </t>
  </si>
  <si>
    <t>SGR - Asignación para la inversión local según NBI- Sincelejo
Recursos Propios - Departamento de Sucre</t>
  </si>
  <si>
    <t>2021000020028</t>
  </si>
  <si>
    <t>FONDO MIXTO DE PROMOCION DE LA CULTURA Y LAS ARTES DE SUCRE</t>
  </si>
  <si>
    <t>Implementación de una estrategia de profesionalización de artistas artistas formadores y gestores culturales en el departamento de Sucre</t>
  </si>
  <si>
    <t xml:space="preserve">IMPLEMENTAR ESTRATEGIAS DE PROFESIONALES DE ARTISTAS, ARTISTAS FORMADORES Y GESTORES CULTURALES DEN EL DEPARTAMENTO DE SUCRE </t>
  </si>
  <si>
    <t>2021002700194</t>
  </si>
  <si>
    <t>Ampliación y optimización del sistema de acueducto de la cabecera municipal de la Unión departamento de Sucre</t>
  </si>
  <si>
    <t xml:space="preserve">Optimización de sistema de acueducto en la cabecera municipal de la Unión con tanque semienterrado de 1000m3, suministro de 69 Domiciliarias, redes de distribución en tuberías de 3" y 6" RDE 32.5 y tanque elevado de 200m3, </t>
  </si>
  <si>
    <t>SGR - Asignaciones directas
SGR - Asignación para la inversión regional 60%
Ministerio de Vivienda, Ciudad y Territorio</t>
  </si>
  <si>
    <t>20221301010208</t>
  </si>
  <si>
    <t>Ampliación y optimización del sistema de acueducto primera etapa de la cabecera municipal de Morroa departamento de Sucre</t>
  </si>
  <si>
    <t>Ampliación y optimización del sistema de acueducto con 2750ml de tubería De Aducción - Tanque Semienterrado, construcción pozo profundo y Sistema eléctrico, paso elevado en tubería, tanque semienterrado de concreto, caseta de bombeo y cerramiento en malla eslabonada, para el municipio de Morroa, departamento de sucre.</t>
  </si>
  <si>
    <t>SGR - Asignaciones directas - Departamento
SGR - Asignaciones directas - Morroa
Recursos Propios - Morroa
SGP Agua Potable y Saneamiento Básico - Morroa
SGP Propósito General Libre Inversión - Morroa</t>
  </si>
  <si>
    <t>2023002700011</t>
  </si>
  <si>
    <t>Fortalecimiento de las artes plásticas y visuales en los municipios de Sincelejo Corozal Morroa Santiago de Tolú y San Pedro en el departamento de Sucre</t>
  </si>
  <si>
    <t xml:space="preserve">Se Fortalecera de las artes plásticas y visuales en los municipios de Sincelejo Corozal Morroa Santiago de Tolú y San Pedro en el departamento de Sucre </t>
  </si>
  <si>
    <t>2023002700070</t>
  </si>
  <si>
    <t>Adecuación y Mejoramiento de Sedes Educativas de la Subregión San Jorge y Sabana por una Educación Diferente Departamento de Sucre</t>
  </si>
  <si>
    <t>SE ADECUARA Y MEJORARÁ LAS CONDICIONES DE LAS AULAS EDUCATIVAS PARA LA FORMACIÓN Y EL DESARROLLO INTEGRAL DE COMPETENCIAS BÁSICAS EN LAS INSTITUCIONES EDUCATIVAS DE LOS MUNICIPIOS DE CAIMITO Y SINCÉ, EN EL DEPARTAMENTO DE SUCRE.</t>
  </si>
  <si>
    <t>SGR - Asignaciones directas
SGR - Asignación para la inversión regional 60%</t>
  </si>
  <si>
    <t>2023002700127</t>
  </si>
  <si>
    <t>Construcción de los embarcaderos marítimos públicos ubicados en el municipio de Santiago de Tolú departamento de Sucre</t>
  </si>
  <si>
    <t xml:space="preserve">SE CONSTRUIRA UN EMBARCADEROS MARITIMOS EN EL MUNICIPIO DE SANTIAGO DE TOLU DEL DEPARTAMENTO DE SUCRE </t>
  </si>
  <si>
    <t>2023002700169</t>
  </si>
  <si>
    <t>Ampliación y optimización del sistema de acueducto del corregimiento de Santiago Apóstol en el municipio de San Benito de Abad Sucre</t>
  </si>
  <si>
    <t xml:space="preserve">Mejorar la prestación del servicio de acueducto en el Corregimiento Santiago Apóstol en el municipio de San Benito de Abad. </t>
  </si>
  <si>
    <t>2024002700075</t>
  </si>
  <si>
    <t>INSTITUTO DEPARTAMENTAL DE DEPORTES Y RECREACION DE SUCRE INDERSUCRE</t>
  </si>
  <si>
    <t>Mejoramiento y adecuación del parque central del municipio de Santiago de Tolú y del parque principal del barrio las Margaritas del municipio de Sincelejo Departamento de Sucre</t>
  </si>
  <si>
    <t xml:space="preserve">MEJORAMIENTO Y ADECUACIÓN DEL PARQUE CENTRAL DEL MUNICIPIO DE SANTIAGO DE TOLÚ Y DEL PARQUE PRINCIPAL DEL BARRIO LAS MARGARITAS DEL MUNICIPIO DE SINCELEJO, DEPARTAMENTO DE SUCRE contemplando la remodelación y/o construcción del parque las Margaritas en un área de 4756m2, y Parque Principal Santiago de Tolú con un área de intervención de 11819.25 M2. Más de 53.889 beneficiados con la ejecución de este proyecto. </t>
  </si>
  <si>
    <t>2024002700158</t>
  </si>
  <si>
    <t>Estudios de prefactibilidad y factibilidad para la estructuración de proyectos de generación de energía eléctrica fotovoltaica en Sucre</t>
  </si>
  <si>
    <t xml:space="preserve">INCREMENTAR LA ACCESIBILIDAD Y CALIDAD EN LA PRESTACIÓN DEL SERVICIO ELÉCTRICO EN SUCRE. </t>
  </si>
  <si>
    <t>2024002700193</t>
  </si>
  <si>
    <t>Construcción de Villa Olímpica Fase I municipio de Tolú Departamento de Sucre</t>
  </si>
  <si>
    <t>LA ALTERNATIVA SELECCIONADA LLEVA COMO OBJETO CONSTRUCCIÓN DE VILLA OLÍMPICA FASE I, MUNICIPIO DE TOLÚ, DEPARTAMENTO DE SUCRE CONTEMPLANDO LAS SIGUIENTES ACTIVIDADES Y ALCANCE: - ADQUISICIÓN DE PREDIO "UNIÒN" UBICADO EN EL KM 3, VIA SANTIAGO DE TOLÚ- TOLUVIEJO, CON ÁREA DE 10 HECTÁREAS, CONSTRUCCIÓN DE COLISEO DE COMBATE Y CONSTRUCCIÓN DE OBRAS COMPLEMENTARIAS. 1.066.044 BENEFICIARIOS CON EL PROYECTO</t>
  </si>
  <si>
    <t>2024002700194</t>
  </si>
  <si>
    <t>Diseño de la alternativa sostenible de provisión de agua para las subregiones sabana y montes de maría Sucre</t>
  </si>
  <si>
    <t xml:space="preserve">ELABORAR LOS ESTUDIOS Y DISEÑOS QUE PERMITAN IMPLEMENTAR UNA ALTERNATIVA SOSTENIBLE DE PROVISIÓN DE AGUA PARA LAS SUBREGIONES SABANA Y MONTES DE MARÍA EN EL DEPARTAMENTO DE SUCRE </t>
  </si>
  <si>
    <t>2025002700010</t>
  </si>
  <si>
    <t>Construcción de Parque Recreo Deportivo en el Corregimiento de las Piedras municipio de Toluviejo Departamento de Sucre</t>
  </si>
  <si>
    <t xml:space="preserve">ESTA ALTERNATIVA CONTEMPLA LA CONSTRUCCIÓN DE UN PARQUE RECREO DEPORTIVO EN EL CORREGIMIENTO DE LAS PIEDRAS MUNICIPIO DE TOLUVIEJO, DEPARTAMENTO DE SUCRE, CON UN ÁREA A INTERVENIR DE (1.700 MTS2), INCLUYE CANCHA MÚLTIPLE (MICROFUTBOL - BALONCESTO - VOLEIBOL, CON DEMARCACIÓN DE CANCHAS), PLAZOLETAS DE ACCESO, RECEPCIÓN, DE EVENTOS SOCIALES, PARQUE INFANTIL, SUMINISTRO E INSTALACIÓN DE MÁQUINAS BIOSALUDABLES. EL TIEMPO DE EJECUCIÓN FÍSICA SERÁ DE 5 MESES. 964 BENEFICIARIOS DE ESTE PROYECTO. </t>
  </si>
  <si>
    <t>2025002700011</t>
  </si>
  <si>
    <t>Construcción de cancha deportiva energética en el corregimiento de El Sitio municipio de El Roble Sucre</t>
  </si>
  <si>
    <t>SE PROPONE LA CONSTRUCCIÓN DE UNA CANCHA DEPORTIVA CON CUBIERTA EN UN ÁREA TOTAL DE 672 M², A EDIFICARSE EN LA ZONA RURAL DEL CORREGIMIENTO DE EL SITIO, MUNICIPIO DE EL ROBLE, SUCRE; DONDE SE PODRÁ PRACTICAR FÚTBOL, BALONCESTO Y VOLEIBOL. ESTE ESPACIO CONTARÁ CON ÁREAS DE PROTECCIÓN POSTERIORES, SUMINISTRO DE ENERGÍA A TRAVÉS DE SOLUCIONES FOTOVOLTAICAS DE FORMA TOTAL DURANTE EL DÍA, QUEDANDO DISPONIBLE EL USO DE ENERGÍA CONVENCIONAL DURANTE LA NOCHE MÁS DE 998 BENEFICIADOS CON ESTE PROYECTO.</t>
  </si>
  <si>
    <t xml:space="preserve">COMENTARIOS </t>
  </si>
  <si>
    <t>2012000020042</t>
  </si>
  <si>
    <t>MUNICIPIO DE MORROA</t>
  </si>
  <si>
    <t>CONSTRUCCIÓN EN PAVIMENTO FLEXIBLE DEL EJE VIAL MONTES DE MARIA QUE COMUNICA EL MUNICIPIO DE MORROA CON EL MUNICIPIO DE COLOSO DEL K0+00 HASTA EL K21+387 EN EL DEPARTAMENTO DE SUCRE</t>
  </si>
  <si>
    <t xml:space="preserve">Construccion de 21,387 km de via en pavimento flexible del k0+00 al k21+387, en la via que comunica al municipio de Morroa con el municipio de Coloso en el Departamento de Sucre. </t>
  </si>
  <si>
    <t>2012002700005</t>
  </si>
  <si>
    <t>MUNICIPIO DE OVEJAS</t>
  </si>
  <si>
    <t>CONSTRUCCIÓN EN PAVIMENTO CONCRETO RIGIDO EN LOS BARRIOS LA MARIA-CALLE LA TRANQUILIDAD- BARRIO COREA Y LA CALLE LA PAZ OVEJAS,SUCRE, CARIBE</t>
  </si>
  <si>
    <t xml:space="preserve">Construccion de 854 metros de via en pavimento rigido en el barrio la maria- calle la tranquilidad - barrio corea y calle la paz del municipio de Ovejas, Sucre </t>
  </si>
  <si>
    <t>2012002700006</t>
  </si>
  <si>
    <t>MUNICIPIO DE SAN PEDRO</t>
  </si>
  <si>
    <t>CONSTRUCCIÓN DE PAVIMENTO RiGIDO EN LA CL 11 ENTRE KRA 5 Y 7; CL 10 ENTRE KRA 6 Y 8 E INTERSECCIoN KRA 7 Y 8 BR SAN ROQUE; KRA 8A Y 8 B ENTRE CL 25 Y POLIDEPORTIVO E INTERSECCIoN KRA 8A Y 8B BR VILLA ESTADIO, MPIO DE SAN PEDRO, SUCRE</t>
  </si>
  <si>
    <t xml:space="preserve">Mejorar el estado de las vias de transito vehicular y peatonal de diferentes sectores del municipio </t>
  </si>
  <si>
    <t>2013000020043</t>
  </si>
  <si>
    <t xml:space="preserve">MUNICIPIO DE MAJAGUAL </t>
  </si>
  <si>
    <t>MEJORAMIENTO DE LAS vías TERCIARIAS LOS COCOS-LA MARTHA, HATO NUEVO-SUCRE,GUARANDA-EL GARCERO Y IRA-MAJAGUAL EN LA ZONA DE LA MOJANA SUCRE, CARIBE</t>
  </si>
  <si>
    <t>MEJORAR en 37 Km LA MOVILIDAD VIAL PARA FACILITAR LA ACCESIBILIDAD DEL TRANSPORTE DE LA ZONA RURAL A LA URBANA DE LOS MUNICIPIOS DE MAJAGUAL, GUARANDA Y SUCRE ZONA LA MOJANA EN EL DEPARTAMENTO DE SUCRE</t>
  </si>
  <si>
    <t>2013000020044</t>
  </si>
  <si>
    <t>MEJORAMIENTO DE LA VIA QUE CONDUCE DE SAN PEDRO A BUENAVISTA-POR EL CORREGIMIENTO DE SAN MATEO,MEDIANTE LA CONSTRUCCION DE PAVIMENTO EN EL DEPARTAMENTO DE SUCRE. 1ERA ETAPA</t>
  </si>
  <si>
    <t xml:space="preserve">Adelantar el mejoramiento de la vía San Pedro - San Mateo - Buenavista en pavimento asfáltico y obras de drenaje </t>
  </si>
  <si>
    <t xml:space="preserve">Fondo  De Desarrollo Regional
Recursos de SGP - San Pedro
</t>
  </si>
  <si>
    <t>2013000020049</t>
  </si>
  <si>
    <t>MUNICIPIO DE COVEÑAS</t>
  </si>
  <si>
    <t>CONSTRUCCIÓN DE OBRAS DE PREVENCIoN Y CONTROL DE LA EROSIoN COSTERA EN EL CASCO URBANO DE LOS MUNICIPIOS DE COVEÑAS Y SANTIAGO TOLu DEPARTAMENTO DE SUCRE - REGIoN CARIBE</t>
  </si>
  <si>
    <t xml:space="preserve">Construcción de 15.000 m2 y 8.750 m2 de espolones, para la prevención y control de la erosión costera en el casco urbano de los Municipios de Coveñas y Santiago de Tolú, en el Departamento de Sucre. </t>
  </si>
  <si>
    <t>2013000020072</t>
  </si>
  <si>
    <t>MUNICIPIO DE TOLUVIEJO</t>
  </si>
  <si>
    <t>CONSTRUCCIÓN DE PAVIMENTO FLEXIBLE EN LA ViA LA PALMIRA - CARACOL- LAS PIEDRAS - LA SIRIA Y LAS PIEDRAS - BAJO DON JUAN, DE LOS MUNICIPIOS DE TOLUVIEJO Y COLOSo, DEPARTAMENTO DE SUCRE</t>
  </si>
  <si>
    <t xml:space="preserve">MEJORAR LAS CONDICIONES DE TRANSITABILIDAD DE LAS VIAS RURALES ( PALMIRA-CARACOL-LAS PIEDRAS-LA SIRIA EN EL MUNICIPIO DE TOLUVIEJO Y LAS PIEDRAS-BAJO DON JUAN EN EL MUNICIPIO DE COLOSO) </t>
  </si>
  <si>
    <t>Fondo  De Desarrollo Regional</t>
  </si>
  <si>
    <t>2013000020090</t>
  </si>
  <si>
    <t>MUNICIPIO DE LOS PALMITOS</t>
  </si>
  <si>
    <t>MEJORAMIENTO Y REHABILITACION DE LA VIA QUE COMUNICA AL CORREGIMIENTO DE PALMA DE VINO CHARCON- CAÑITO LOS ARAUJO CON LA CABECERA MUNICIPAL DE BETULIA - MUNICIPIO DE LOS PALMITOS DEPARTAMENTO DE SUCRE</t>
  </si>
  <si>
    <t xml:space="preserve">Este proyecto busca recuperar la calzada de la vía rural e interconectar desde el Municipio de Betulia hasta el corregimiento Palmas de vino en el Municipio de los Palmitos y lograr el normal tránsito o movilidad de vehículos y peatones por esta importante zona de producción agropecuaria. Se intervendrán 25 kilómetros de vía en calzada de 4 metros con material seleccionado afirmado, con obras de arte como puente, alcantarillas, cunetas y placa huellas en concreto en puntos críticos. </t>
  </si>
  <si>
    <t>SGR - Asignación para la inversión regional 60% 
Recursos Propios - Los Palmitos
Recursos Propios - Betulia</t>
  </si>
  <si>
    <t>2013000100255</t>
  </si>
  <si>
    <t>LA CORPORACIÓN COLOMBIANA DE INVESTIGACIÓN AGROPECUARIA - AGROSAVIA (EX CORPOICA)</t>
  </si>
  <si>
    <t>INVESTIGACIÓN DESARROLLO E INNOVACIoN DE CACAOS ESPECIALES BAJO SISTEMAS AGROFORESTALES .</t>
  </si>
  <si>
    <t xml:space="preserve">Aprovechar las oportunidades de mercado del cacao fino de sabor y aroma como una estrategia para el desarrollo competitivo de la cacaocultura colombiana. </t>
  </si>
  <si>
    <t>2017000020114</t>
  </si>
  <si>
    <t>MUNICIPIO DE SINCELEJO</t>
  </si>
  <si>
    <t>REHABILITACIÓN DE LA VÍA LAS MAJAGUAS - LA ARENA, ZONA RURAL DEL MUNICIPIO DE SINCELEJO, DEPARTAMENTO DE SUCRE</t>
  </si>
  <si>
    <t xml:space="preserve">Mejorar la movilidad vehicular de la vía las majaguas - la arena, en la zona rural del municipio de Sincelejo </t>
  </si>
  <si>
    <t>SGR - Asignación para la inversión regional 60% 
Recursos Propios - Sincelejo</t>
  </si>
  <si>
    <t>2018000020002</t>
  </si>
  <si>
    <t>MUNICIPIO DE SINCE</t>
  </si>
  <si>
    <t>MEJORAMIENTO EN PAVIMENTO ASFÁLTICO DE LA VÍA SINCÉ - GRANADA - BUENAVISTA, EN EL DEPARTAMENTO DE SUCRE</t>
  </si>
  <si>
    <t xml:space="preserve">Construccion de 21,16 km de via en pavimento asfaltico del k0+00 al k21+16, en la via que comunica al municipio de Sincè con el municipio de Buenavista, en el departamento de Sucre. </t>
  </si>
  <si>
    <t>SGR - Asignación para la inversión regional 60% - Proyectos de infraestructura de transporte para la implementación Acuerdo Paz 
SGR - Asignación para la inversión regional 60%</t>
  </si>
  <si>
    <t>2019000020013</t>
  </si>
  <si>
    <t>MUNICIPIO DE COROZAL</t>
  </si>
  <si>
    <t>Mejoramiento con placa huella de la vía que comunica los corregimientos de chocho en el municipio de Sincelejo y el corregimiento de don Alonso en el municipio de Corozal, departamento de Sucre</t>
  </si>
  <si>
    <t>Mejoramiento de 2,845 Km de vía en placa huella que comunica al Corregimiento de Chocho del Municipio de Sincelejo (K0+000) con el corregimiento de Don Alonso en el Municipio de corozal (K2+845) en el Departamento de Sucre</t>
  </si>
  <si>
    <t>SGR - Asignación para la inversión regional 60%
Recursos Propios - Corozal</t>
  </si>
  <si>
    <t>2019000020110</t>
  </si>
  <si>
    <t>MUNICIPIO DE COLOSO</t>
  </si>
  <si>
    <t>Mejoramiento DE UNIDADES PRODUCTIVAS AGRÍCOLAS A TRAVÉS DE LA COSECHA DE AGUA, SISTEMA DE RIEGO, DIVERSIFICACIÓN DE CULTIVOS Y ACOMPAÑAMIENTO INTEGRAL EN LOS MUNICIPIOS DE LOS PALMITOS, COLOSO, OVEJAS Y TOLUVIEJO EN EL DEPARTAMENTO DE Sucre</t>
  </si>
  <si>
    <t xml:space="preserve">Mejorar las unidades productivas agrícolas de 245 pequeños productores rurales mediante la implementación de cultivos de ñame diamante, maíz y limón tahití, y, el acompañamiento integral integral a los pequeños productores en los Municipios de los Palmitos, Colosó, Ovejas y Toluviejo </t>
  </si>
  <si>
    <t>2019000100005</t>
  </si>
  <si>
    <t>FUNDACIÓN UNIVERSIDAD DEL NORTE - UNINORTE</t>
  </si>
  <si>
    <t>Formación De Capital Humano De Alto Nivel Nacional</t>
  </si>
  <si>
    <t>Formación de alto nivel mediante la financiación de 31 créditos educativos condonables a nivel de doctorado</t>
  </si>
  <si>
    <t>2019000100011</t>
  </si>
  <si>
    <t>UNIVERSIDAD DE LA SABANA</t>
  </si>
  <si>
    <t>Formación de Capital humano de alto nivel Universidad de La Sabana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</si>
  <si>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cinco beneficiarios de los departamentos de Choco, Sucre, Tolima, Cesar y Norte de Santander (uno por cada departamento). </t>
  </si>
  <si>
    <t>2019000100012</t>
  </si>
  <si>
    <t xml:space="preserve">UNIVERSIDAD DEL VALLE </t>
  </si>
  <si>
    <t>Formación de capital humano de alto nivel Universidad del Valle Nacional</t>
  </si>
  <si>
    <t xml:space="preserve">Legalización de 48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</si>
  <si>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2019000100021</t>
  </si>
  <si>
    <t>UNIVERSIDAD DE CARTAGENA</t>
  </si>
  <si>
    <t>Formación de capital humano de alto nivel - Universidad de Cartagena Nacional</t>
  </si>
  <si>
    <t xml:space="preserve">Formación de alto nivel mediante la financiación 17 créditos condonables a nivel de doctorado en universidades nacionales, para el capital humano de la región caribe. </t>
  </si>
  <si>
    <t>2019000100026</t>
  </si>
  <si>
    <t>UNIVERSIDAD NACIONAL DE COLOMBIA</t>
  </si>
  <si>
    <t>Formación De Capital Humano de Alto Nivel Universidad Nacional de Colombia Nacional</t>
  </si>
  <si>
    <t xml:space="preserve">Formación de alto nivel mediante la financiación de 93 créditos condonables a nivel de doctorado en programas de la Universidad Nacional de Colombia, para el capital humano de 29 departamentos. </t>
  </si>
  <si>
    <t>2019000100028</t>
  </si>
  <si>
    <t>PONTIFICIA UNIVERSIDAD JAVERIANA</t>
  </si>
  <si>
    <t>Formación DE CAPITAL HUMANO DE ALTO NIVEL PONTIFICIA UNIVERSIDAD JAVERIANA SEDE CENTRAL Nacional</t>
  </si>
  <si>
    <t xml:space="preserve">Promover el acceso a estudios de doctorado en el país a profesionales colombianos con 27 créditos educativo condonables, en el marco del programa Becas de Excelencia Doctoral del Bicentenario establecido en el artículo 45 de la Ley No. 1942 de 2018. El apoyo financiero para la realización de doctorados se realizará en el marco del proyecto de inversión presentado por la IES y de acuerdo con las condiciones del Programa de Becas para la Excelencia Doctoral del Bicentenario </t>
  </si>
  <si>
    <t>2019000100032</t>
  </si>
  <si>
    <t xml:space="preserve">UNIVERSIDAD DE CÓRDOBA </t>
  </si>
  <si>
    <t>Formación de capital humano de alto nivel - Universidad de Córdoba Nacional</t>
  </si>
  <si>
    <t xml:space="preserve">Asignación de recursos para 10 estudiantes en el marco del programa de becas del excelencia doctoral del bicentenario denominado "Formación de Capital Humano de Alto Nivel - Universidad de Córdoba" </t>
  </si>
  <si>
    <t>2019000100034</t>
  </si>
  <si>
    <t>CORPORACIÓN UNIVERSIDAD DE LA COSTA</t>
  </si>
  <si>
    <t>Formación De capital humano de alto nivel - Corporación Universidad de la Costa, CUC Nacional</t>
  </si>
  <si>
    <t xml:space="preserve">Formación de capital humano de alto nivel a través del otorgamiento de catorce (14) créditos educativos condonables en el marco del programa becas de excelencia doctoral del bicentenario para los beneficiarios de los departamentos de Atlantico, Bolivar, Cesar, Magdalena, La Guajira, Norte de Santander y Sucre. El apoyo económico para la financiación de los créditos educativos incluye el pago de matrícula del semestre, el sostenimiento mensual y una pasantía en el exterior. </t>
  </si>
  <si>
    <t>2019000100035</t>
  </si>
  <si>
    <t>UNIVERSIDAD DE CALDAS</t>
  </si>
  <si>
    <t>Formación de capital humano de alto nivel Universidad de Caldas - Nacional</t>
  </si>
  <si>
    <t xml:space="preserve">Promover el acceso a programas de formación de alto nivel en Manizales mediante estudios de doctorado en diferentes áreas de conocimiento, permitiendo el desarrollo de capacidades para la investigación, la generación de nuevo conocimiento, la transferencia del mismo y su aplicación a 14 personas bajo la figura de crédito educativo condonable </t>
  </si>
  <si>
    <t>2019000100037</t>
  </si>
  <si>
    <t xml:space="preserve">UNIVERSIDAD TECNOLÓGICA DE BOLÍVAR </t>
  </si>
  <si>
    <t>Formación CAPITAL HUMANO DE ALTO NIVEL UNIVERSIDAD TECNOLÓGICA DE BOLÍVAR Nacional</t>
  </si>
  <si>
    <t xml:space="preserve">Incrementar las capacidades del talento humano en investigación de calidad e impacto y promover el acceso a estudios de doctorado en el país a profesionales colombianos bajo la figura de crédito educativo condonable, en el marco del programa "Becas de Excelencia Doctoral del Bicentenario", establecido en el artículo 45 de la Ley No. 1942 de 2018, a través del apoyo financiero para la realización de doctorados con las condiciones del Programa de Becas para la Excelencia Doctoral del Bicentenario. </t>
  </si>
  <si>
    <t>2019000100045</t>
  </si>
  <si>
    <t>UNIVERSIDAD PONTIFICIA BOLIVARIANA</t>
  </si>
  <si>
    <t>Formación Capital Humano de Alto nivel Nacional por la Universidad Pontificia Bolivariana-UPB Nacional</t>
  </si>
  <si>
    <t xml:space="preserve">Formación Capital Humano de Alto nivel Nacional por la Universidad Pontificia Bolivariana-UPB Nacional por medio del desarrollo de ocho programas doctorales. </t>
  </si>
  <si>
    <t>2019000100064</t>
  </si>
  <si>
    <t>UNIVERSIDAD DEL MAGDALENA</t>
  </si>
  <si>
    <t>Fortalecimiento de habilidades y competencias comunicativas investigativas y tecnológicas alrededor de la memoria histórica y cultural en niños adolescentes y jóvenes del departamento del Cesar</t>
  </si>
  <si>
    <t xml:space="preserve">Facilitar la apropiación de las TIC mediante la estrategia "La Piragua navegando por el Cesar", que articula la infraestructura tecnológica existente con los procesos de enseñanza-aprendizaje escolares en once instituciones educativas, para el fomento de talentos creativos, competencias científicas y de investigación a través de escenarios de reconstrucción de la memoria histórica y cultural, en niños, adolescentes y jóvenes del departamento del Cesar </t>
  </si>
  <si>
    <t>2019002700079</t>
  </si>
  <si>
    <t>MUNICIPIO DE GALERAS</t>
  </si>
  <si>
    <t>Construcción Y DOTACION DE LA BIBLIOTECA PUBLICA MUNICIPAL DE Galeras</t>
  </si>
  <si>
    <t xml:space="preserve">Construir una Biblioteca Publica en un área de 432m2 en la zona urbana del municipio de Galeras, mediante la dotación de cubierta en teja acústica, construcción de unidades sanitarias, suministro e instalación de redes eléctricas externas e internas, tanque de distribución de agua potable pisos y enchapes y construcción de obras de urbanismo. </t>
  </si>
  <si>
    <t>SGR - Asignaciones directas 
Recursos Propios - Galeras</t>
  </si>
  <si>
    <t>2019700010025</t>
  </si>
  <si>
    <t>Construcción estadio 20 de enero del Municipio de Sincelejo Departamento de Sucre</t>
  </si>
  <si>
    <t>Reconstruccion de la infraestructura física deportiva y recreativa del estadio 20 de enero en el municipio de Sincelejo</t>
  </si>
  <si>
    <t>SGR - Asignación para la inversión regional 60%
SGR - Asignaciones directas-Sincelejo
SGR - Asignación para la inversión local según NBI- Sincelejo</t>
  </si>
  <si>
    <t>2020000020053</t>
  </si>
  <si>
    <t>Mejoramiento en pavimento rigido de la vía San Pedro - Limites con Bolívar en el departamento de Sucre</t>
  </si>
  <si>
    <t xml:space="preserve">La alternativa contempla la construcción de 7,523 km de vía en el tramo San Pedro - Rancho largo en el municipio de San Pedro que comunica con el municipio de Córdoba - Bolívar, el K0+000 inicia en el municipio de San Pedro- Sucre y finaliza en el K7+523 en los limites del municipio de Cordoba-Bolivar, la estructura de pavimento se compone por dos capas con espesores de 20 centímetros para la losa de pavimento y 30 centímetros para la capa de subbase y se pavimentara 7,523 kilómetros </t>
  </si>
  <si>
    <t>2020000020068</t>
  </si>
  <si>
    <t>MUNICIPIO DE CAIMITO</t>
  </si>
  <si>
    <t>Construcción de pavimento en concreto rigido de la via que conduce desde el Municipio de caimito hasta el municipio de la union en el departamento de Sucre</t>
  </si>
  <si>
    <t xml:space="preserve">Construcción de 12,378Km de pavimento sobre la vía que conduce del municipio de Caimito a La Unión desde la abscisa K0+100 - K3+428; K10+195 - K19+245. </t>
  </si>
  <si>
    <t>SGR - Asignación para la inversión regional 60% 
Recursos Propios - Caimito</t>
  </si>
  <si>
    <t>2020000020072</t>
  </si>
  <si>
    <t>Mejoramiento de la vía que comunica los municipios de Corozal Betulia y Sincé (ruta 25SC02) en el departamento de Sucre</t>
  </si>
  <si>
    <t xml:space="preserve">Mejoramiento y rehabilitación de la carretera Corozal - San Luis de Sincé, en el Departamento de Sucre, con una longitud de 18,967 km, La alternativa de pavimento propuesta considera una capa de mejoramiento para la zona de ampliación paralela en casi toda la longitud del corredor vial , donde se pasa de un ancho promedio existente de 6.60 m a 9.30 m, se proyecta la construcción de nueve Boxcoulvert y un puente. </t>
  </si>
  <si>
    <t>2020000100001</t>
  </si>
  <si>
    <t>Estudio de la exposición a pesticidas y metales pesados y su relación con el perfil neurológico y cognitivo en niños y niñas de la Mojana Bolivarense - Bolívar</t>
  </si>
  <si>
    <t xml:space="preserve">Evaluación del deterioro neurológico y cognitivo en 343 niños y niñas con edades comprendidas entre 6 y 12 años que viven en la Mojana Bolivarense (Magangué y Achí), asociado con exposición a pesticidas, y metales pesados, incluyendo como grupo de referencia el municipio de Arjona, que será utilizada como población de comparación </t>
  </si>
  <si>
    <t>2020000100002</t>
  </si>
  <si>
    <t>Análisis de la interacción de la alimentación y el riesgo genético en la asociación entre la aterosclerosis y la función pulmonar en adultos del departamento de Bolívar</t>
  </si>
  <si>
    <t>Incrementar la investigación para el análisis de las interacción de la alimentación y las variantes genéticas de riesgo con la asociación entre a aterosclerosis y la función pulmonar.</t>
  </si>
  <si>
    <t>2020000100005</t>
  </si>
  <si>
    <t>UNIVERSIDAD DEL ATLÁNTICO</t>
  </si>
  <si>
    <t>Fortalecimiento de las capacidades técnicas y científicas del laboratorio de análisis fisicoquímico del agua (LAFA) del centro de estudios del agua (CEA) en la Universidad del Atlántico Puerto Colombia</t>
  </si>
  <si>
    <t xml:space="preserve">Fortalecimiento del laboratorio de análisis fisicoquímico del agua-LAFA de la Universidad del Atlántico mediante dotación de 4 equipos (ICP metales pesados; un cromatógrafo de gases-masas con detector NPD; un HPLC con detector Diodo; un SOXLETH para grasas y aceites). 3 capacitaciones para el talento humano del proyecto. Generación de Documentación requerida por la ISO/IEC 17025:2017, un informe sobre la sostenibilidad del laboratorio y un documento con el portafolio de servicios del LAFA </t>
  </si>
  <si>
    <t>2020000100006</t>
  </si>
  <si>
    <t xml:space="preserve">INSTITUCION UNIVERSITARIA ITSA </t>
  </si>
  <si>
    <t>Desarrollo de un sistema inteligente multiparamétrico para el reconocimiento de patrones asociados a disfunciones neurocognitivas en jóvenes en conflicto con la ley en el departamento del Atlántico</t>
  </si>
  <si>
    <t xml:space="preserve">Desarrollo de plataforma tecnológica para mejorar procesos de caracterización cerebral en jóvenes en conflicto con la ley </t>
  </si>
  <si>
    <t>2020000100023</t>
  </si>
  <si>
    <t>UNIVERSIDAD DE SUCRE</t>
  </si>
  <si>
    <t>Desarrollo de un Sistema Inteligente de Vigilancia de Arbovirus en zonas turísticas de la región Caribe Colombiana - Sucre, Bolívar</t>
  </si>
  <si>
    <t xml:space="preserve">Implementación de un sistema inteligente de vigilancia de arbovirus en tres ciudades con influencia turística de la región Caribe colombiana: Santiago de Tolú, Coveñas y Cartagena de Indias. En estas ciudades se instalarán trampas georreferenciadas de captura de mosquitos para determinar semanalmente la abundancia vectorial, así como el estado de infección con los virus Dengue,Chikungunya, Zika, Mayaro, Oropuche y/o Usutu mediante RT-qPCR </t>
  </si>
  <si>
    <t>2020000100036</t>
  </si>
  <si>
    <t xml:space="preserve">UNIVERSIDAD DEL MAGDALENA </t>
  </si>
  <si>
    <t>Implementación de sistemas productivos en la piscicultura marina del róbalo para el fomento de su producción en el departamento del Magdalena</t>
  </si>
  <si>
    <t xml:space="preserve">Estudiar la especie del róbalo (Centropomus undecimalis) en ambientes controlados (condiciones de laboratorio) para lograr su reproducción mediante la feminización de juveniles y transferir la tecnología y los resultados obtenidos a través de cursos-talleres de capacitación y montajes pilotos de explotación sostenible con viabilidad económica a las comunidades beneficiarias del Caribe colombiano. </t>
  </si>
  <si>
    <t>2020000100055</t>
  </si>
  <si>
    <t>UNIVERSIDAD DE CÓRDOBA</t>
  </si>
  <si>
    <t>Implementación de una estrategia sostenible en la recuperación de ecosistemas degradados y contaminados con mercurio generado por la minería aurífera en los departamentos de Córdoba, Sucre, Chocó</t>
  </si>
  <si>
    <t xml:space="preserve">Proceso de fitorremediación como una estrategia sostenible en la recuperación de ecosistemas degradados y contaminados con mercurio generados por la minería aurífera en los departamentos de Córdoba, Sucre y Chocó, pretende desarrollar un proceso de remediación sobre un suelo degradado y contaminado con mercurio (Hg), utilizando plantas silvestres previamente identificadas que se dan en el área. </t>
  </si>
  <si>
    <t>2020000100056</t>
  </si>
  <si>
    <t>FUNDACION PARQUE TECNOLOGICO DE SOFTWARE DE BOGOTA</t>
  </si>
  <si>
    <t>Desarrollo de capacidades en gestión de la innovación empresarial para las empresas del sector turismo, agropecuario y agroindustrial del departamento de Sucre</t>
  </si>
  <si>
    <t xml:space="preserve">Desarrollar capacidades en gestión de la innovación empresarial 192 empresas de los sectores de Turismo, Agropecuario y Agroindustrial en el departamento de Sucre. </t>
  </si>
  <si>
    <t>2020000100065</t>
  </si>
  <si>
    <t>Caracterización de microplasticos acumulados en sedimento, seston y organismos marinos en la region Caribe Colombiana: Departamentos Atlántico, Magdalena, San Andres y Providencia</t>
  </si>
  <si>
    <t xml:space="preserve">Incrementar los estudios sobre la contaminación por microplásticos a nivel espacio temporal acumulados en sedimento, seston y organismos marinos en el Caribe Colombiano, departamentos del Atlántico, Magdalena y San Andrés y Providencia </t>
  </si>
  <si>
    <t>2020000100095</t>
  </si>
  <si>
    <t>Fortalecimiento de capacidades instaladas de Ciencia y Tecnología de la Universidad de Sucre para atender problemáticas asociadas con agentes biológicos de alto riesgo para la salud humana en el departamento de Sucre</t>
  </si>
  <si>
    <t xml:space="preserve">Fortalecer las capacidades instaladas de Ciencia y Tecnología de la Universidad de Sucre para atender problemáticas asociadas con agentes biológicos de alto riesgo para la salud humana mediante una (1) adecuación civil de infraestructura de investigación para aumentar su complejidad, una (1) dotación de equipos e insumos para la infraestructura de investigación y un (1) servicio de pruebas de laboratorio para la detección de SARS-CoV-2 agente causal de COVID-19 en el departamento de Sucre. </t>
  </si>
  <si>
    <t>2020000100116</t>
  </si>
  <si>
    <t>Fortalecimiento de la capacidad productiva y comercial de la cadena de suministro del Queso Costeño en las Subregiones del Caribe Colombiano, departamentos de Magdalena, Córdoba, La Guajira</t>
  </si>
  <si>
    <t xml:space="preserve">Desarrollar una (1) plataforma tecnológica que facilite el fortalecimiento de la capacidad productiva y comercial de la cadena de suministro del queso costeño mediante registro de marca colectiva, estimación de niveles de capacidad productiva y comercial, evaluación de la calidad del Queso Costeño e identificación de un esquema de trabajo asociativo-colaborativo, en las subregiones del Caribe Colombiano (Departamentos del Magdalena, Córdoba y La Guajira) </t>
  </si>
  <si>
    <t>2020000100189</t>
  </si>
  <si>
    <t>Aprovechamiento y valorización sostenible de residuos sólidos orgánicos y su posible aplicación en biorrefinerías y tecnologías de residuos-a-energía en el departamento de Sucre</t>
  </si>
  <si>
    <t xml:space="preserve">Se desarrollarán 3 prototipos de laboratorio de revalorización energética y 1 prototipo piloto de biorefinería sostenible de los RSO del Departamento de Sucre. Se incluye la compra de equipos científicos de caracterización y software especializado, publicación de 17 documentos de investigación, entrenamiento especializado a científicos y divulgación en eventos científicos internacionales. Localización: Lat: 9.314927, Long: -75.387559 </t>
  </si>
  <si>
    <t>2020000100213</t>
  </si>
  <si>
    <t>CORPORACIÓN UNIVERSITARIA DEL CARIBE CECAR</t>
  </si>
  <si>
    <t>Desarrollo de capacidades y habilidades de investigación, desarrollo tecnológico e innovación en jóvenes profesionales del Departamento de Sucre</t>
  </si>
  <si>
    <t xml:space="preserve">Desarrollo de capacidades de investigacion a 20 jovenes profesionales mediante la financiacion de 20 becas pasantias de investigación, realización de 2 estrategias de gestión del conocimiento en cultura y apropiación social de CTeI y publicación de 2 libros resultado de investigación como estrategia de comunicación y enforque en ciencia y tecnología en el departamento de Sucre. </t>
  </si>
  <si>
    <t>2020000100237</t>
  </si>
  <si>
    <t>CORPORACIÓN CENTRO DE DESARROLLO TECNOLÓGICO CLUSTER CREATIC</t>
  </si>
  <si>
    <t>Incremento de empresas de base tecnológica: competitividad e innovación para la región Sucre Sincelejo</t>
  </si>
  <si>
    <t xml:space="preserve">INCREMENTAR EN (12), LAS EMPRESAS DE BASE TECNOLÓGICA CONSTITUIDAS EN EL DEPARTAMENTO DE SUCRE CON LAS CONDICIONES PARA SU INGRESO EN EL MERCADO Y EXPANSIÓN COMERCIAL A PARTIR DEL FORTALECIMIENTO DE LOS PROCESOS DE LOS ACTORES SRCTEI, DE LAS CAPACIDADES PARA LA MADURACIÓN DE TECNOLOGÍAS EN LAS EBT DEL DEPARTAMENTO Y LA GENERACIÓN DE CONDICIONES PARA LA PUESTA EN MARCHA DE LAS EBT PARA SU EXPANSIÓN COMERCIAL Y SOSTENIBILIDAD </t>
  </si>
  <si>
    <t>2020000100250</t>
  </si>
  <si>
    <t>Desarrollo de capacidades para la maduración de tecnologías en sus aspectos técnicos y de negocios en sectores estratégicos priorizados por el PAED del Departamento de Sucre</t>
  </si>
  <si>
    <t xml:space="preserve">Maduración de nueve (9) tecnologías en sus aspectos técnicos y de negocios desarrolladas por empresas de los sectores priorizados en el PAED del Departamento de Sucre (municipios de Corozal, Sampués, San Antonio de Palmito, Sincelejo), para determinar las potencialidades de mercado y factibilidad técnica y financiera de los productos o servicios asociados a las tecnologías y diseñar estrategias de explotación y de protección de la propiedad intelectual asociada a ellas. </t>
  </si>
  <si>
    <t>2020000100287</t>
  </si>
  <si>
    <t xml:space="preserve">FUNDACIÓN UNIVERSIDAD DEL NORTE - UNINORTE </t>
  </si>
  <si>
    <t>Formación De Capital Humano de Alto Nivel Universidad del Norte 2do Corte Nacional</t>
  </si>
  <si>
    <t xml:space="preserve">Formación de alto nivel mediante la financiación de 27 créditos condonables a nivel de doctorado en la Universidad del Norte, para el capital humano de los Departamentos de Atlántico, Bolívar, Córdoba, Cundinamarca, Huila, La Guajira, Magdalena, Norte de Santander y Sucre </t>
  </si>
  <si>
    <t>2020000100322</t>
  </si>
  <si>
    <t>Fortalecimiento de las capacidades de investigación con relación a las enfermedades transmitidas por vectores de las universidades de Córdoba y Cesar 2020 -2023 en Córdoba Cesar</t>
  </si>
  <si>
    <t xml:space="preserve">Fortalecer las capacidades de investigación y generar nuevo conocimiento con relación a las enfermedades transmitidas por vectores (mosquitos y garrapatas ) en los departamentos de Córdoba y Cesar. </t>
  </si>
  <si>
    <t>2020000100325</t>
  </si>
  <si>
    <t>Aprovechamiento sostenible del aguacate (Laurus persea L) producido en los Montes de María para la obtención de productos de valoragregado bajo el concepto de biorefinería en el departamento de Bolívar</t>
  </si>
  <si>
    <t xml:space="preserve">Dotación de equipos especializados en los laboratorios de Ciencias biomédicas, Toxicológicas y Ambientales de la Universidad de Cartagena y el laboratorio de Ciencia y Tecnología de alimentos de la Universidad del Atlántico. Adicionalmente se tendrán como entregables un documento de investigación y dos artículos de investigación como alcance en la ejecución del proyecto. </t>
  </si>
  <si>
    <t>2020000100345</t>
  </si>
  <si>
    <t>UNIVERSIDAD DEL VALLE</t>
  </si>
  <si>
    <t>Formación de capital humano de alto nivel segundo corte Universidad del Valle Nacional</t>
  </si>
  <si>
    <t xml:space="preserve">Legalización de 28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</si>
  <si>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2020000100361</t>
  </si>
  <si>
    <t>Implementación de estrategias de gestión de riesgo en el manejo integral de zonas de recarga de los acuíferos utilizados como fuente de abastecimiento de las comunidades de la subregión mojana departamento de Sucre</t>
  </si>
  <si>
    <t xml:space="preserve">El proyecto busca determinar los diferentes acuíferos abastecedores del agua ubicados en los siete municipios de la subregión Mojana, Para lograr el objetivo se usarán insumos que permitan la modelación de los flujos de agua en el área de estudio y evaluar las fuentes contaminantes del acuífero; logrando beneficiar aproximadamente 207.083 habitantes. </t>
  </si>
  <si>
    <t>2020000100362</t>
  </si>
  <si>
    <t>Análisis de biomarcadores de hipertrofia del tejido adiposo como factores involucrados en la asociación entre el riesgo de enfermedadcardiovascular y respiratoria en adultos del Caribe Colombiano en el departamento de Bolívar</t>
  </si>
  <si>
    <t xml:space="preserve">Fortalecer las capacidades institucionales para la investigación en enfermedades crónicas no transmisibles en dos (2) Universidades Públicas de la Región Caribe, a través de la dotación de laboratorios y mejoramiento de las competencias del talento humano, respondiendo a las necesidades de 400.000 personas en el Caribe Colombiano que son afectadas o están en alto riesgo de padecer enfermedades cardiovasculares y respiratorias. </t>
  </si>
  <si>
    <t>2020000100364</t>
  </si>
  <si>
    <t>Formación de capital humano de alto nivel cohorte II - Universidad de Cartagena Nacional</t>
  </si>
  <si>
    <t xml:space="preserve">Promover el acceso de la población a programas de Formación de Alto Nivel </t>
  </si>
  <si>
    <t>2020000100372</t>
  </si>
  <si>
    <t>Elaboración de un perfil hidrogeológico y ambiental del acuífero costero Arroyo Grande considerando efectos del cambio climático ydinámica antropogénica en la zona norte del Departamento de Bolívar</t>
  </si>
  <si>
    <t xml:space="preserve">Elaboración de un perfil hidrogeológico y ambiental mediante la caracterización de la formación Arroyo Grande, el fortalecimiento de la capacidad científica de las universidades a partir de la dotación de laboratorios con 13 equipos y 5 softwares, capacitando a 359 personas en temas relacionados con el proyecto. </t>
  </si>
  <si>
    <t>2020000100380</t>
  </si>
  <si>
    <t>Desarrollo de la cadena productiva de Cacao a través del mejoramiento de la calidad e inocuidad y agregación de valor en el departamento de Córdoba</t>
  </si>
  <si>
    <t xml:space="preserve">Fortalecimiento de la capacidad científica de la cadena productiva del cacao, a través de la adquisición de equipos, materiales y formación; la elaboración de 5 artículos de investigación, en los municipios de Tierralta y Valencia del departamento de Córdoba </t>
  </si>
  <si>
    <t>2020000100391</t>
  </si>
  <si>
    <t xml:space="preserve">UNIVERSIDAD DE ANTIOQUIA </t>
  </si>
  <si>
    <t>Formación Nacional de alto nivel en la Universidad de Antioquia</t>
  </si>
  <si>
    <t xml:space="preserve">Promover el acceso de la población a programas de formación de alto nivel </t>
  </si>
  <si>
    <t>2020000100417</t>
  </si>
  <si>
    <t>Diseño e implementación de sistemas inteligentes para la gestión de recursos y detección de enfermedades en sistemas de producción en banano en los Departamentos de La Guajira Magdalena</t>
  </si>
  <si>
    <t xml:space="preserve">Diseñar e implementar un (1) sistema inteligente para la gestión apropiada de los recursos y detección temprana de enfermedades en los sistemas de producción de banano, mediante estudios que relacionen los factores ambientales predisponentes para la reproducción de los hongos, acompañado de una red de sensores y cámaras de visión multiespectral para documentar y almacenar datos, en los Departamentos de La Guajira y Magdalena </t>
  </si>
  <si>
    <t>2020000100418</t>
  </si>
  <si>
    <t>Desarrollo de formulaciones nutricionales de engorde para camarón blanco (litopenaeus vannamei) en los departamentos Atlántico y Magdalena</t>
  </si>
  <si>
    <t>Mejorar la productividad de la camaronicultura en los Departamentos Atlántico y Magdalena y de esta manera disminuir su impacto ambiental sobre el recurso hídrico, a través del desarrollo de formulaciones nutricionales balanceadas de engorde para camarón de la especie Litopenaeus vannamei, ajustada a las necesidades del desarrollo competitivo y sustentable de la industria camaronera regional.</t>
  </si>
  <si>
    <t>2020000100427</t>
  </si>
  <si>
    <t>Estudio de la contaminación por metales pesados pesticidas nuevos contaminantes y su posible repercusión en riesgos en la salud y en el ambiente en el Departamento de Bolívar</t>
  </si>
  <si>
    <t>Investigar y reportar la repercusión en salud y ambiente debido a la Contaminación por metales pesados, pesticidas y nuevos contaminantes en el Departamento de Bolívar</t>
  </si>
  <si>
    <t>2020000100436</t>
  </si>
  <si>
    <t>UNIVERSIDAD SIMÓN BOLIVAR</t>
  </si>
  <si>
    <t>Formación de alto nivel Universidad Simón Bolívar-Corte 2 Nacional</t>
  </si>
  <si>
    <t xml:space="preserve">Formación de alto nivel mediante la financiación de 8 créditos condonables a nivel de doctorado en la Universidad Simón Bolívar para el capital humano del país. </t>
  </si>
  <si>
    <t>2020000100675</t>
  </si>
  <si>
    <t>Formación de capital humano de alto nivel - Universidad de Sucre</t>
  </si>
  <si>
    <t xml:space="preserve">Formación a nivel doctoral de 3 investigadores del departamento de Sucre por la Universidad de Sucre, en el marco del Programa de Becas de Excelencia del SGR. </t>
  </si>
  <si>
    <t>2020000100778</t>
  </si>
  <si>
    <t xml:space="preserve">UNIVERSIDAD EAFIT </t>
  </si>
  <si>
    <t>Formación de capital humano de alto nivel Universidad EAFIT - corte 2 Nacional</t>
  </si>
  <si>
    <t xml:space="preserve">Incrementar las capacidades de talento humano en investigación de calidad e impacto de 12 beneficiarios mediante estudios de doctorado. </t>
  </si>
  <si>
    <t>20201301010046</t>
  </si>
  <si>
    <t>Mejoramiento en pavimento asfáltico de la vía Colosó - Chalán - Ovejas municipios del departamento de Sucre</t>
  </si>
  <si>
    <t>Construccion de 19,328 Km de pavimento flexible: 9,138 km en pavimento asfaltico o (ubicado entre las abscisas K1+140 - K8+020 y K10+090- K22+347) y 0,190 Km en pavimento rígido (ubicado entre las abscisas K+0+950 - K1+140), en la via secundaria que comunica a los municipio de Colosò, Chalan y Ovejas en el Departamento de Sucre.</t>
  </si>
  <si>
    <t>SGR - Asignación para la paz</t>
  </si>
  <si>
    <t>2021000100003</t>
  </si>
  <si>
    <t>Formación de Capital Humano de Alto Nivel - Universidad Nacional de Colombia Corte II Nacional</t>
  </si>
  <si>
    <t xml:space="preserve">Formación de alto nivel mediante la financiación de 79 créditos condonables a nivel de doctorado en programas de la Universidad Nacional de Colombia, para el capital humano de 24 departamentos. </t>
  </si>
  <si>
    <t>2021000100004</t>
  </si>
  <si>
    <t>Formación de capital humano de alto nivel Universidad de La Sabana corte 2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</si>
  <si>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seis beneficiarios de los departamentos de Cundinamarca, Sucre, Putumayo, Cesar, Bolivar y Guaviare (uno por cada departamento). </t>
  </si>
  <si>
    <t>2021000100005</t>
  </si>
  <si>
    <t>Formación de capital humano de alto nivel Universidad de Córdoba Nacional</t>
  </si>
  <si>
    <t xml:space="preserve">Servicio de apoyo financiero para la formación de nivel doctoral mediante once (11) becas otorgadas en el Departamento de Córdoba. </t>
  </si>
  <si>
    <t>2021000100006</t>
  </si>
  <si>
    <t>Formación De capital humano de alto nivel - Corporación Universidad de la Costa CUC II Nacional</t>
  </si>
  <si>
    <t xml:space="preserve">Formación de capital humano de alto nivel a través del otorgamiento de 6 créditos educativos condonables en el marco del programa Becas de Excelencia Doctoral del Bicentenario para los beneficiarios de os departamentos de Atlántico, Cesar, La Guajira y Sucre. El apoyo económico para la financiación de estudios doctorales incluye el pago de la matricula del semestre, el sostenimiento mensual y una pasantía en el exterior durante el periodo de estudio. </t>
  </si>
  <si>
    <t>2021000100033</t>
  </si>
  <si>
    <t>Formación DE CAPITAL HUMANO DE ALTO NIVEL UNIVERSIDAD TECNOLÓGICA DE BOLÍVAR Nacional</t>
  </si>
  <si>
    <t xml:space="preserve">Incrementar las capacidades del talento humano en investigación de calidad e impacto </t>
  </si>
  <si>
    <t>2021000100048</t>
  </si>
  <si>
    <t>INSTITUCION UNIVERSITARIA ITSA</t>
  </si>
  <si>
    <t>Implementación de soluciones para el aprovechamiento de oportunidades de ahorro de electricidad y fuentes no convencionales de energía para el desarrollo del turismo sostenible en el Archipiélago de San Andres y Providencia</t>
  </si>
  <si>
    <t>Implementar 200 soluciones para el aprovechamiento de oportunidades de ahorro de electricidad y fuentes no convencionales de energía para el desarrollo del turismo sostenible en el Archipiélago de San Andres y Providencia</t>
  </si>
  <si>
    <t>2021000100052</t>
  </si>
  <si>
    <t>Fortalecimiento de la economía circular a través de la generación de valor agregado a partir de residuos agrícolas en los departamentos de Córdoba y Sucre</t>
  </si>
  <si>
    <t xml:space="preserve">Incremento en 50% del número de investigadores que realizan investigación científica en residuos agrícolas para producir materiales y sustancias con valor agregado en los departamento de Córdoba y Sucre. </t>
  </si>
  <si>
    <t>2021000100078</t>
  </si>
  <si>
    <t>Investigación en el manejo sostenible del sistema de fríjol caupí para mejorar la productividad y reducir los problemas de la inseguridad alimentaria del departamento de Córdoba Magdalena</t>
  </si>
  <si>
    <t xml:space="preserve">Se busca mejorar el sistema de producción de frijol caupí a través de cultivadores que mejoren la producción y oferta, tecnología sostenible, crear variedad arbustiva con alto rendimiento, producir 2 toneladas de semilla, mejorar densidad; identificar época de siembra, período crítico de malezas, mejor cepa parra control, agente de control biológico, mejor alternativa de cosecha, paquete tecnológico para mejor productividad, capacitar a 240 productores y entregar semilla a 1360 agricultores. </t>
  </si>
  <si>
    <t>2021000100084</t>
  </si>
  <si>
    <t>Fortalecimiento de las capacidades institucionales para la investigación del cultivo y reproducción inducida de la lisa (Mugil incilis) como una alternativa para su conservación en el Caribe Colombiano Magdalena</t>
  </si>
  <si>
    <t xml:space="preserve">Mejoramiento de las capacidades institucionales de investigación de las IES públicas participantes en la alianza, mediante la dotación de laboratorios, con equipos de punta e insumos esenciales para el desarrollo óptimo de las investigaciones y el diseño de un plan de explotación pesquero sostenible, a través del estudio de la fisiología de la especie, para establecer un plan de conservación de la lisa y la seguridad alimentaria de las comunidades de Puebloviejo, Ciénaga Grande de Santa Marta. </t>
  </si>
  <si>
    <t>2021000100229</t>
  </si>
  <si>
    <t>Generación de capacidades tecnológicas para el desarrollo de policultivos de especies de interés piscícola como una alternativa complementaria para el fortalecimiento de la seguridad alimentaria en el Departamento de Sucre</t>
  </si>
  <si>
    <t xml:space="preserve">Transferir al 1,98% de la población rural, un modelo productivo de policultivo de especies de interés acuícola, en el municipio de Sincelejo departamento de Sucre. </t>
  </si>
  <si>
    <t>2021000100535</t>
  </si>
  <si>
    <t>Desarrollo de un programa para la mitigación de los gases de efecto invernadero generados por la ganadería bovina en los departamentos de Córdoba Bolívar Sucre</t>
  </si>
  <si>
    <t xml:space="preserve">Desarrollo de un programa para la mitigación de los gases de efecto invernadero generados por la ganadería bovina en los departamentos de Córdoba Bolívar Sucre </t>
  </si>
  <si>
    <t>2021002700188</t>
  </si>
  <si>
    <t>Remodelación y ampliación del parque los abetos en el municipio de Sincé departamento de Sucre</t>
  </si>
  <si>
    <t xml:space="preserve">Mejoramiento de las condiciones actuales y ampliación del parque los abetos en el municipio de Sincé. </t>
  </si>
  <si>
    <t>2021002700357</t>
  </si>
  <si>
    <t>CANACOL ENERGY COLOMBIA SAS</t>
  </si>
  <si>
    <t>Mejoramiento MEDIANTE EL USO DE PLACA HUELLA DE LA VÍA QUE DE SANTIAGO APÓSTOL CONDUCE AL CASCO URBANO DEL MUNICIPIO DE SAN BENITO ABAD (INTERSECCIÓN) EN EL MUNICIPIO DE SAN BENITO ABAD - DEPARTAMENTO DE Sucre</t>
  </si>
  <si>
    <t>SGR - Asignaciones directas
Recursos Propios - Canacol Energy Colombia SAS</t>
  </si>
  <si>
    <t>2021002700378</t>
  </si>
  <si>
    <t>Construcción de pavimento en concreto rígido en el casco urbano del municipio de Sincé departamento de Sucre</t>
  </si>
  <si>
    <t xml:space="preserve">La alternativa de solución es la construcción de pavimento en concreto rígido en los 19,57 kilómetros lineales (incluye redes de acueducto y alcantarillado y andenes), en los Barrios San Martin, San pedro, Guinea, San José, Colombia, las Brisas, Cascajito, Palacio, Pueblo Nuevo, Gaitán, las Margaritas, Buenos Aires, Charco colorado, El Socorro, El estanco (sector la Amarillera), La Ford, Transformación, La Ceja, La Esmeralda y el Centro, del municipio de Sincé. </t>
  </si>
  <si>
    <t>SGR - Asignación para la inversión local según NBI - Sincé
SGR - Asignación para la inversión regional 60%</t>
  </si>
  <si>
    <t>2021002700379</t>
  </si>
  <si>
    <t>MUNICIPIO DE GUARANDA</t>
  </si>
  <si>
    <t>Construcción de Pavimento Rígido y Obras de Urbanismo en la Vía de Acceso al Hospital en el Municipio de Guaranda Sucre</t>
  </si>
  <si>
    <t xml:space="preserve">Mejorar el tránsito vehicular y peatonal en la vía que conduce a la ESE Hospital del municipio de Guaranda mediante la construcción de pavimento rigido </t>
  </si>
  <si>
    <t>2021002700388</t>
  </si>
  <si>
    <t>MUNICIPIO DE SAN BENITO ABAD</t>
  </si>
  <si>
    <t>Pavimentación de vías urbanas en diferentes sectores en el municipio de san benito abad departamento de Sucre</t>
  </si>
  <si>
    <t xml:space="preserve">CONSTRUCCION DE 5,587ML DE VIAS URBANAS EN PAVIMENTO RIGIDO EN DIFERENTES CALLES DEL MUNICIPIO DE SAN BENITO ABAD, DEPARTAMENTO DE SUCRE. </t>
  </si>
  <si>
    <t>20211301011233</t>
  </si>
  <si>
    <t>Mejoramiento MEDIANTE PAVIMENTACIÓN EN CONCRETO RÍGIDO DE LA VÍA EL PORTÓN - LA YE DE LOS ARRASTRES EN LA MOJANA SUCREÑA ENTRE LOS MUNICIPIOS DE MAJAGUAL Y GUARANDA EN EL DEPARTAMENTO DE Sucre</t>
  </si>
  <si>
    <t>Mejorar el transito en la vía el portón la ye en la mojona en aras de mejorar el transito y reactivar la economía de las dos poblaciones</t>
  </si>
  <si>
    <t>2022000100058</t>
  </si>
  <si>
    <t>Implementación de un Centro de Innovación y Productividad con énfasis en el desarrollo de la manufactura en el departamento de Sucre</t>
  </si>
  <si>
    <t xml:space="preserve">Fortalecer el desarrollo tecnológico, la transferencia tecnológica y la innovación de las diferentes entidades del departamento de Sucre fomentando el uso y apropiación de la CTeI en 60 empresas del departamento desarrollando productos innovadores y prototipado 20 de estos desarrollos. </t>
  </si>
  <si>
    <t>2022000100095</t>
  </si>
  <si>
    <t xml:space="preserve">Fundación Centro de Excelencia en Sistemas de Innovación </t>
  </si>
  <si>
    <t>Desarrollo y socialización de una agenda regional de Investigación + Creación para las Industrias Creativas y Culturales en la Región Caribe Atlántico</t>
  </si>
  <si>
    <t xml:space="preserve">Fortalecimiento del sector de industrias creativas y culturales en la región Caribe a partir del mejoramiento de la capacidad institucional, normativa y política en ciencia, tecnología e innovación, específicamente en I+ </t>
  </si>
  <si>
    <t>2022000100097</t>
  </si>
  <si>
    <t>FundaciónBotánica yZoológica deBarranquilla</t>
  </si>
  <si>
    <t>Fortalecimiento de los centros de ciencia del caribe colombiano para la investigación innovación y apropiación social en los departamentos de Atlántico Bolívar Cesar Córdoba La Guajira Magdalena San Andres y Providencia Sucre</t>
  </si>
  <si>
    <t>Fortalecimiento de la oferta de servicios en CTeI en seis (6) centros de ciencia no reconocidos de los departamentos de Atlántico, Bolívar, Cesar, Córdoba, Guajira, Magdalena, San Andrés y Providencia y Sucre elegidos por medio de un proceso de convocatoria pública; a través de un programa de formación con experiencias educativas, investigativas o museológicas en sus respectivas áreas y campos de actividad</t>
  </si>
  <si>
    <t>2022002700159</t>
  </si>
  <si>
    <t>HOSPITAL UNIVERSITARIO DE SINCELEJO - ESE</t>
  </si>
  <si>
    <t>Implementación de dispositivos comunitarios en el marco de la Estrategia Sucre Escucha en el departamento de Sucre</t>
  </si>
  <si>
    <t xml:space="preserve">Implementación de acciones de promoción, prevención y reducción de riesgo de consumo de SPA focalizando población con edades entre los 10 y 19 años de edad, de los 26 municipios del departamento de Sucre, fortaleciendo la capacidad de gestión de alternativas de intervención desde la comunidad, identificando, caracterizando y capacitando actores institucionales y no institucionales; incluyendo la disposición de 27 unidades móviles – centros de escucha itinerantes. </t>
  </si>
  <si>
    <t>20221301010191</t>
  </si>
  <si>
    <t>MUNICIPIO DE SAN MARCOS</t>
  </si>
  <si>
    <t>Mejoramiento en pavimento rígido de la vía San Marcos - El Llano en la zona rural del municipio de San Marcos Departamento de Sucre</t>
  </si>
  <si>
    <t xml:space="preserve">Construccion de 9,7 kms en pavimento rigido en la via que comunica al el area urbana de san marcos a el llano en zona rural del municipio de san marcos </t>
  </si>
  <si>
    <t>2023000100040</t>
  </si>
  <si>
    <t>PUNTO ESTRATEGICO RED DE CONSULTORES SAS</t>
  </si>
  <si>
    <t>Implementación del Proyecto Escalando la innovación en la Región Caribe dirigido a empresas de los sectores estratégicos en los departamentos de Bolívar Cesar Córdoba La Guajira Magdalena San Andres y Providencia Sucre</t>
  </si>
  <si>
    <t>Fortalecer las capacidades de innovación en empresas de sectores estratégicos, mediante la realización de 1 curso especializado en innovación, 1 entrenamiento en Sistema de Gestión de Innovación (SGI), para lograr 100 proyectos financiados, 100 empresas con SGI, 100 prototipos, 50 estudios de vigilancia tecnológica, 50 productos y/o procesos finales o mejorados y 14 facilitadores formados en innovación en los departamentos de Bolívar, San Andrés, Magdalena, Córdoba, Sucre, César, y La Guajira.</t>
  </si>
  <si>
    <t>2023000100050</t>
  </si>
  <si>
    <t>INSTITUTO DE INVESTIGACION DE RECURSOS BIOLOGICOS ALEXANDER VON HUMBOLDT</t>
  </si>
  <si>
    <t>Generación y gestión de conocimiento en biodiversidad territorial a partir del fortalecimiento de capacidades institucionales Nacional</t>
  </si>
  <si>
    <t>Fortalecimiento de capacidades del Instituto para gestionar el conocimiento en biodiversidad que atienda demandas territoriales, incrementando el procesamiento y almacenamiento de datos e información y el análisis de los usos desde la metagenómica y bioprospección. Impartir ocho cursos de métodos y técnicas de investigación al talento humano e implementar una estrategia de socialización del conocimiento con cajas de herramientas para el desarrollo de acciones dirigidas a actores de las regiones.</t>
  </si>
  <si>
    <t>2023002700170</t>
  </si>
  <si>
    <t xml:space="preserve">FONCOLOMBIA FONDO MIXTO PARA EL DESARROLLO INTEGRAL Y LA GESTION SOCIAL DE COLOMBIA </t>
  </si>
  <si>
    <t>Construcción de obras para la transformación del Arroyo Grande de Corozal y su entorno I Etapa en el departamento de Sucre</t>
  </si>
  <si>
    <t xml:space="preserve">Revestimiento del cauce natural del arroyo Grande de Corozal, desde desembocadura del arroyo Morroa hasta la calle 29, serán 1.172m; el canal existente no se intervendrá. El nuevo canal es de 10m de base x 3.5m de altura, con paredes y piso en concreto reforzado de 28 Mpa de 30cm de espesor, un box culvert triple, un box culvert doble y un box culvert sencillo. Demolición de puentes existentes; construcción de 12.854,99m2 de parques en la margen izquierda del arroyo aguas abajo. </t>
  </si>
  <si>
    <t>SGR - Asignación para la inversión regional 60%
SGR - Asignación para la inversión regional 60% - Gestión del riesgo y adaptación al cambio climático</t>
  </si>
  <si>
    <t>2024000100009</t>
  </si>
  <si>
    <t>Fortalecimiento de las capacidades tecnológicas e innovación en sistemas productivos y de transformación en materias primas agropecuarias que potencien la seguridad y sostenibilidad alimentaria en la subregión Montes de María del Departamento de Sucre</t>
  </si>
  <si>
    <t xml:space="preserve">IMPLEMENTAR PROCESOS DE INVESTIGACIÓN, DESARROLLO TECNOLÓGICO E INNOVACIÓN QUE CONTRIBUYAN A FORTALECER LA SEGURIDAD ALIMENTARIA, ASÍ COMO LAS CAPACIDADES PARA LA AGROINDUSTRIALIZACIÓN DE ASOCIACIONES PERTENECIENTES AL SECTOR AGROPECUARIO RELACIONADAS CON LOS CULTIVOS DE YUCA, ÑAME, BATATA Y SISTEMAS PISCÍCOLAS, PERMITIENDO EL DESARROLLO DE UN CAMPO PRODUCTIVO Y SOSTENIBLE, ESTABLECIENDO APROPIACIÓN SOCIAL DE CONOCIMIENTO, PROCESOS DE GENERACIÓN DE PROTOTIPOS Y DOCUMENTOS DE INVESTIGACIÓN </t>
  </si>
  <si>
    <t>SGR - Asignación para la inversión en ciencia, tecnología e innovación
SGR - Asignación para la inversión en ciencia, tecnología e innovación - Convocatorias</t>
  </si>
  <si>
    <t>2024000100100</t>
  </si>
  <si>
    <t>Formación de capital humano de alto nivel para responder a los retos en Ciencia Tecnología e Innovación en los departamentos de Atlántico Bolívar Cesar Córdoba Magdalena La Guajira Archipiélago de San Andrés Providencia y Santa Catalina Sucre</t>
  </si>
  <si>
    <t xml:space="preserve">FORMACIÓN DE ALTO NIVEL MEDIANTE LA FINANCIACIÓN DE 59 CRÉDITOS CONDONABLES A NIVEL DE DOCTORADO EN UNIVERSIDADES DE LA REGIÓN CARIBE, PARA EL CAPITAL HUMANO DE LOS DEPARTAMENTOS DE ATLÁNTICO, BOLÍVAR, CESAR, CÓRDOBA, MAGDALENA, LA GUAJIRA, ARCHIPIÉLAGO DE SAN ANDRÉS, PROVIDENCIA Y SANTA CATALINA, Y SUCRE. </t>
  </si>
  <si>
    <t>2024000100122</t>
  </si>
  <si>
    <t>Diseño de un sistema de monitoreo hidroambiental: herramienta para promover la restauración conservación y adaptación frente al cambio climático de las cuencas bajas de los ríos Magdalena y Sinú en los departamentos Atlántico Bolívar Córdoba Magdalena Sucre</t>
  </si>
  <si>
    <t xml:space="preserve">INCREMENTAR HERRAMIENTAS DE CTEI PARA MONITOREAR EL DETERIORO AMBIENTAL Y LAS VARIACIONES GEOQUÍMICAS Y MORFODINÁMICAS EN LAS CUENCAS BAJAS DE LOS RÍOS MAGDALENA Y SINÚ, EN LOS DEPARTAMENTOS DE ATLÁNTICO, BOLÍVAR, CÓRDOBA, MAGDALENA Y SUCRE, CON EL FIN DE PROMOVER LA MITIGACIÓN DE IMPACTOS, REDUCCIÓN DE LA VULNERABILIDAD COSTERA Y ADAPTACIÓN ANTE EL CAMBIO CLIMÁTICO. </t>
  </si>
  <si>
    <t>2024000100130</t>
  </si>
  <si>
    <t>Estudio del Potencial de los Humedales como Depósitos de Carbono para la Mitigación del Cambio Climático en los Departamentos de Sucre Bolívar Atlántico Magdalena La Guajira Córdoba</t>
  </si>
  <si>
    <t>2024N001660002</t>
  </si>
  <si>
    <t>ASOCIACION CULTURAL AFROCOLOMBIANA DE BUENAVISTA-AFROSDEBUENAVISTA</t>
  </si>
  <si>
    <t>Elaboración DE UN PLAN DE ETNODESARROLLO COMO BASE PARA EL DESARROLLO Y MEJORAMIENTO DE LA CALIDAD DE VIDA DE LAS COMUNIDADES NARP DEL DEPARTAMENTO DE Sucre</t>
  </si>
  <si>
    <t>2025002700008</t>
  </si>
  <si>
    <t>MUNICIPIO DE BUENAVISTA</t>
  </si>
  <si>
    <t>Elaboración de los documentos para las etapas de diagnóstico formulación adopción del esquema de Ordenamiento Territorial del municipio de Buenavista del departamento de Sucre</t>
  </si>
  <si>
    <t>CONTRIBUIR AL MEJORAMIENTO DE LA GESTIÓN DEL ORDENAMIENTO TERRITORIAL EN EL MUNICIPIO DE BUENAVISTA DEL DEPARTAMENTO DE SUCRE</t>
  </si>
  <si>
    <t>2025002700017</t>
  </si>
  <si>
    <t>MUNICIPIO DE SAMPUES</t>
  </si>
  <si>
    <t>Elaboración de los documentos para la revisión ajuste general e inclusión de determinantes ambientales y de gestión del riesgo del Plan Básico de Ordenamiento Territorial del municipio de Sampués del departamento de Sucre</t>
  </si>
  <si>
    <t>2025002700020</t>
  </si>
  <si>
    <t>FONCOLOMBIA FONDO MIXTO PARA EL DESARROLLO INTEGRAL Y LA GESTION SOCIAL DE COLOMBIA</t>
  </si>
  <si>
    <t>Mejoramiento en concreto rigido de tramos en la red vial urbana del municipio de Sincelejo departamento de Sucre</t>
  </si>
  <si>
    <t xml:space="preserve">MEJORAR LA RED VIAL URBANA EN SINCELEJO INTERVINIENDO 8,625 KMS DE VIAS </t>
  </si>
  <si>
    <t>20253201010018</t>
  </si>
  <si>
    <t>Implementación de acciones de recuperación ecológica participativa en áreas ambientales estratégicas en los municipios de Majagual y Guaranda del departamento de Sucre</t>
  </si>
  <si>
    <t>IMPLEMENTACIÓN DE ACCIONES DE RECUPERACIÓN ECOLÓGICA EN 3.040 HECTÁREAS DE 380 BENEFICIARIOS CON ESPECIES DE ALTA TOLERANCIA EN SUELOS DEGRADADOS EN LOS MUNICIPIOS DE MAJAGUAL Y GUARANDA EN EL DEPARTAMENTO DE SUCRE</t>
  </si>
  <si>
    <t>SGR - 20% de mayor recaudo destinado a la conservación de las áreas ambientales estratégicas y la lucha nacional contra la deforestación</t>
  </si>
  <si>
    <t>2020000100022</t>
  </si>
  <si>
    <t>Caracterización epidemiológica de la enfermedad asociada con la calidad del agua en la región Caribe: Sucre, Bolívar, Magdalena</t>
  </si>
  <si>
    <t xml:space="preserve">ncrementar el conocimiento científico sobre las enfermedades asociadas con la calidad del agua de consumo humano en los departamentos de Sucre, Bolívar y Magdalena, Región Caribe. </t>
  </si>
  <si>
    <t>2020000100635</t>
  </si>
  <si>
    <t>SERVICIO NACIONAL DE APRENDIZAJE SENA</t>
  </si>
  <si>
    <t>Desarrollo TRANSFERENCIA DE TECNOLOGÍA Y CONOCIMIENTO PARA LA INNOVACIÓN QUE ATIENDAN A LA RECUPERACIÓN ECONÓMICA DE PRODUCTORES PISCICOLAS DERIVADAS DE LA EMERGENCIA ECONÓMICA SOCIAL Y ECOLÓGICA CAUSADA POR EL COVID-19 EN EL DEPARTAMENTO DE Sucre</t>
  </si>
  <si>
    <t xml:space="preserve">Incrementar las transferencias tecnológicas y conocimiento para la innovación que atiendan la recuperación económica de 30 organizaciones de productores piscícolas en Sucre, a través del entrenamiento especializado en gestión de la innovación y sistemas productivos acuícolas, estudio de vigilancia tecnológica e inteligencia competitiva relacionados con paquetes tecnológicos a transferir a los beneficiarios y la Implementación de paquetes tecnológicos, estandarización y pruebas. </t>
  </si>
  <si>
    <t>2021002700095</t>
  </si>
  <si>
    <t>Construcción de puente vehicular ubicado sobre el arroyo grande de corozal en vía de acceso al municipio de San Juan de Betulia entre calles 19 y 20 en el municipio de corozal departamento de Sucre</t>
  </si>
  <si>
    <t>Construcción de puente vehicular de L=25 metros ubicado sobre el arroyo grande de corozal en la vía que comunica al municipio de Corozal entre calles 19 y 20, con el municipio de San Juan de Betulia, en el departamento de Sucre</t>
  </si>
  <si>
    <t>SGR - Asignaciones directas
SGR - Asignación para la inversión regional 60% - Gestión del riesgo y adaptación al cambio climático</t>
  </si>
  <si>
    <t>2021707170045</t>
  </si>
  <si>
    <t>Construcción de pavimento en concreto rígido de la carrera 9 entre calles 11 y 24 del casco urbano del municipio de San Pedro Sucre</t>
  </si>
  <si>
    <t xml:space="preserve">Mejoramiento de la transitabilidad de la carrera 9 entre calles 11 y 24 del casco urbano del municipio de San Pedro, consiste en la pavimentación de 1083m de vía, con ancho de 5,2m y un espesor de 0,23m </t>
  </si>
  <si>
    <t>SGR - Asignación para la inversión local según NBI - San Pedro
SGR - Asignación para la inversión regional 60%</t>
  </si>
  <si>
    <t>2023000020038</t>
  </si>
  <si>
    <t>Mejoramiento DE LA VÍA BUENAVISTA - GRANADA DEL K21+736 al K23+153 EN LOS MUNICIPIOS DE BUENAVISTA Y SINCÉ DEPARTAMENTO DE Sucre</t>
  </si>
  <si>
    <t>Mejorar la intercomunicación terrestre de una parte de la población rural con la zona urbana del municipio de Buenavista y Since Sucre</t>
  </si>
  <si>
    <t>2025002700037</t>
  </si>
  <si>
    <t>Construcción de obras para la transformación del arroyo grande de corozal y su entorno II etapa en el departamento de Sucre</t>
  </si>
  <si>
    <t xml:space="preserve">SGR - Asignaciones directas
SGR - Asignación para la inversión regional 60% </t>
  </si>
  <si>
    <t xml:space="preserve">SIN CONTRATAR </t>
  </si>
  <si>
    <t>BRINDAR UN ESPACIO ARQUITECTÓNICO ADECUADO PARA LA SEDE DEL MUSEO ARQUEOLÓGICO DEL DEPARTAMENTO DE SUCRE</t>
  </si>
  <si>
    <t>Desarrollar capacidad instalada de 400 m2 de un laboratorio de biomedicas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</si>
</sst>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4" x14ac:knownFonts="1">
    <font>
      <sz val="11"/>
      <color theme="1"/>
      <name val="Calibri"/>
      <family val="2"/>
      <scheme val="minor"/>
    </font>
    <font>
      <b/>
      <sz val="12"/>
      <color rgb="FFFFFFFF"/>
      <name val="Roboto"/>
      <family val="2"/>
    </font>
    <font>
      <b/>
      <sz val="10"/>
      <color rgb="FFFFFFFF"/>
      <name val="Roboto"/>
      <family val="2"/>
    </font>
    <font>
      <sz val="10"/>
      <color theme="1"/>
      <name val="Roboto"/>
      <family val="2"/>
    </font>
  </fonts>
  <fills count="6">
    <fill>
      <patternFill patternType="none"/>
    </fill>
    <fill>
      <patternFill patternType="gray125"/>
    </fill>
    <fill>
      <patternFill patternType="solid">
        <fgColor rgb="FFB7DEE8"/>
        <bgColor indexed="64"/>
      </patternFill>
    </fill>
    <fill>
      <patternFill patternType="solid">
        <fgColor rgb="FFF1A983"/>
        <bgColor indexed="64"/>
      </patternFill>
    </fill>
    <fill>
      <patternFill patternType="solid">
        <fgColor rgb="FF31869B"/>
        <bgColor indexed="64"/>
      </patternFill>
    </fill>
    <fill>
      <patternFill patternType="solid">
        <fgColor rgb="FFBE501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3">
    <dxf>
      <numFmt numFmtId="19" formatCode="d/mm/yyyy"/>
    </dxf>
    <dxf>
      <border outline="0">
        <left style="thin">
          <color auto="1"/>
        </left>
      </border>
    </dxf>
    <dxf>
      <border outline="0">
        <right style="thin">
          <color auto="1"/>
        </right>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SeguimientoEvaluacion" displayName="MatrizSeguimientoEvaluacion" ref="A2:AV57" totalsRowShown="0">
  <autoFilter ref="A2:AV57" xr:uid="{00000000-0009-0000-0100-000001000000}"/>
  <tableColumns count="48">
    <tableColumn id="1" xr3:uid="{00000000-0010-0000-0000-000001000000}" name="BPIN"/>
    <tableColumn id="2" xr3:uid="{00000000-0010-0000-0000-000002000000}" name="ENTIDAD O SECRETARIA"/>
    <tableColumn id="3" xr3:uid="{00000000-0010-0000-0000-000003000000}" name="NOMBRE PROYECTO"/>
    <tableColumn id="4" xr3:uid="{00000000-0010-0000-0000-000004000000}" name="ALCANCE DEL PROYECTO"/>
    <tableColumn id="5" xr3:uid="{00000000-0010-0000-0000-000005000000}" name="SECTOR"/>
    <tableColumn id="6" xr3:uid="{00000000-0010-0000-0000-000006000000}" name="INDICADOR DE PRODUCTO MGA"/>
    <tableColumn id="7" xr3:uid="{00000000-0010-0000-0000-000007000000}" name="ESTADO PROYECTO"/>
    <tableColumn id="8" xr3:uid="{00000000-0010-0000-0000-000008000000}" name="ESTADO CONTRATO"/>
    <tableColumn id="9" xr3:uid="{00000000-0010-0000-0000-000009000000}" name="TIPO CONTRATO"/>
    <tableColumn id="10" xr3:uid="{00000000-0010-0000-0000-00000A000000}" name="FUENTE DE FINANCIACIÓN"/>
    <tableColumn id="11" xr3:uid="{00000000-0010-0000-0000-00000B000000}" name="VALOR SGR"/>
    <tableColumn id="12" xr3:uid="{00000000-0010-0000-0000-00000C000000}" name="VALOR NACIÓN"/>
    <tableColumn id="13" xr3:uid="{00000000-0010-0000-0000-00000D000000}" name="VALOR OTROS"/>
    <tableColumn id="14" xr3:uid="{00000000-0010-0000-0000-00000E000000}" name="VALOR OTRAS FUENTES NO SUIFP"/>
    <tableColumn id="15" xr3:uid="{00000000-0010-0000-0000-00000F000000}" name="VALOR TOTAL PROYECTO"/>
    <tableColumn id="16" xr3:uid="{00000000-0010-0000-0000-000010000000}" name="VALOR PAGOS"/>
    <tableColumn id="17" xr3:uid="{00000000-0010-0000-0000-000011000000}" name="ULTIMA FECHA PAGO"/>
    <tableColumn id="18" xr3:uid="{00000000-0010-0000-0000-000012000000}" name="FECHA DE MIGRACIÓN A GESPROY"/>
    <tableColumn id="19" xr3:uid="{00000000-0010-0000-0000-000013000000}" name="FECHA DE ASIGNACIÓN DE RECURSOS"/>
    <tableColumn id="20" xr3:uid="{00000000-0010-0000-0000-000014000000}" name="FECHA DE INCORPORACIÓN DE RECURSOS"/>
    <tableColumn id="21" xr3:uid="{00000000-0010-0000-0000-000015000000}" name="AVANCE FISICO"/>
    <tableColumn id="22" xr3:uid="{00000000-0010-0000-0000-000016000000}" name="AVANCE FINANCIERO"/>
    <tableColumn id="23" xr3:uid="{00000000-0010-0000-0000-000017000000}" name="CPI"/>
    <tableColumn id="24" xr3:uid="{00000000-0010-0000-0000-000018000000}" name="SPI"/>
    <tableColumn id="25" xr3:uid="{00000000-0010-0000-0000-000019000000}" name="FECHA APROBACIÓN PROYECTO"/>
    <tableColumn id="26" xr3:uid="{00000000-0010-0000-0000-00001A000000}" name="FECHA DE APERTURA DEL PRIMER PROCESO"/>
    <tableColumn id="27" xr3:uid="{00000000-0010-0000-0000-00001B000000}" name="FECHA SUSCRIPCION"/>
    <tableColumn id="28" xr3:uid="{00000000-0010-0000-0000-00001C000000}" name="FECHA ACTA INICIO"/>
    <tableColumn id="29" xr3:uid="{00000000-0010-0000-0000-00001D000000}" name="HORIZONTE DEL PROYECTO" dataDxfId="2"/>
    <tableColumn id="30" xr3:uid="{00000000-0010-0000-0000-00001E000000}" name="FECHA DE FINALIZACIÓN" dataDxfId="0"/>
    <tableColumn id="31" xr3:uid="{00000000-0010-0000-0000-00001F000000}" name="FECHA DE CORTE GESPROY" dataDxfId="1"/>
    <tableColumn id="32" xr3:uid="{00000000-0010-0000-0000-000020000000}" name="INFORMACIÓN SOLICITADA"/>
    <tableColumn id="33" xr3:uid="{00000000-0010-0000-0000-000021000000}" name="INFORMACIÓN RECIBIDA"/>
    <tableColumn id="34" xr3:uid="{00000000-0010-0000-0000-000022000000}" name="FECHA DE RECIBO DE INFORMACIÓN"/>
    <tableColumn id="35" xr3:uid="{00000000-0010-0000-0000-000023000000}" name="DIAS DESDE LA APROBACIÓN HASTA APERTURA DEL PRIMER PROCESO"/>
    <tableColumn id="36" xr3:uid="{00000000-0010-0000-0000-000024000000}" name="DIAS DESDE LA APERTURA HASTA LA FIRMA DEL PRIMER CONTRATO"/>
    <tableColumn id="37" xr3:uid="{00000000-0010-0000-0000-000025000000}" name="DIAS DESDE LA FECHA DE SUSCRIPCIÓN HASTA LA FECHA DEL ACTA DE INICIO"/>
    <tableColumn id="38" xr3:uid="{00000000-0010-0000-0000-000026000000}" name="DESEMPEÑO EN EL CRONOGRAMA"/>
    <tableColumn id="39" xr3:uid="{00000000-0010-0000-0000-000027000000}" name="DESEMPEÑO EN EL COSTO"/>
    <tableColumn id="40" xr3:uid="{00000000-0010-0000-0000-000028000000}" name="COLUMNA APOYO"/>
    <tableColumn id="41" xr3:uid="{00000000-0010-0000-0000-000029000000}" name="BRECHA FISICO - FINANCIERA"/>
    <tableColumn id="42" xr3:uid="{00000000-0010-0000-0000-00002A000000}" name="CONTROL EXTERNALIDADES"/>
    <tableColumn id="43" xr3:uid="{00000000-0010-0000-0000-00002B000000}" name="CALIFICACIÓN DESEMPEÑO EN LA CONTRATACIÓN"/>
    <tableColumn id="44" xr3:uid="{00000000-0010-0000-0000-00002C000000}" name="CALIFICACIÓN INFORMACIÓN A TIEMPO"/>
    <tableColumn id="45" xr3:uid="{00000000-0010-0000-0000-00002D000000}" name="CALIFICACIÓN CALIDAD INFORMACIÓN"/>
    <tableColumn id="46" xr3:uid="{00000000-0010-0000-0000-00002E000000}" name="COLUMNA APOYO 2"/>
    <tableColumn id="47" xr3:uid="{00000000-0010-0000-0000-00002F000000}" name="CALIFICACIÓN EJECUCIÓN DEL PROYECTO"/>
    <tableColumn id="48" xr3:uid="{00000000-0010-0000-0000-000030000000}" name="COMENTARIOS CALIFICACIÓ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trosEjecutoresDescentralizadas" displayName="OtrosEjecutoresDescentralizadas" ref="A2:AK17" totalsRowShown="0">
  <autoFilter ref="A2:AK17" xr:uid="{00000000-0009-0000-0100-000002000000}"/>
  <tableColumns count="37">
    <tableColumn id="1" xr3:uid="{00000000-0010-0000-0100-000001000000}" name="BPIN"/>
    <tableColumn id="2" xr3:uid="{00000000-0010-0000-0100-000002000000}" name="EJECUTOR"/>
    <tableColumn id="3" xr3:uid="{00000000-0010-0000-0100-000003000000}" name="NOMBRE DEL PROYECTO"/>
    <tableColumn id="4" xr3:uid="{00000000-0010-0000-0100-000004000000}" name="ALCANCE"/>
    <tableColumn id="5" xr3:uid="{00000000-0010-0000-0100-000005000000}" name="SECTOR"/>
    <tableColumn id="6" xr3:uid="{00000000-0010-0000-0100-000006000000}" name="FUENTE"/>
    <tableColumn id="7" xr3:uid="{00000000-0010-0000-0100-000007000000}" name="ESTADO PROYECTO"/>
    <tableColumn id="8" xr3:uid="{00000000-0010-0000-0100-000008000000}" name="ESTADO CONTRATO"/>
    <tableColumn id="9" xr3:uid="{00000000-0010-0000-0100-000009000000}" name="VALOR SGR"/>
    <tableColumn id="10" xr3:uid="{00000000-0010-0000-0100-00000A000000}" name="VALOR OTROS "/>
    <tableColumn id="11" xr3:uid="{00000000-0010-0000-0100-00000B000000}" name="VALOR TOTAL"/>
    <tableColumn id="12" xr3:uid="{00000000-0010-0000-0100-00000C000000}" name="FECHA DE MIGRACIÓN A GESPROY"/>
    <tableColumn id="13" xr3:uid="{00000000-0010-0000-0100-00000D000000}" name="FECHA DE ASIGNACIÓN DE RECURSOS"/>
    <tableColumn id="14" xr3:uid="{00000000-0010-0000-0100-00000E000000}" name="FECHA DE INCORPORACIÓN DE RECUROS"/>
    <tableColumn id="15" xr3:uid="{00000000-0010-0000-0100-00000F000000}" name="AVANCE FÍSICO"/>
    <tableColumn id="16" xr3:uid="{00000000-0010-0000-0100-000010000000}" name="AVANCE FINANCIERO"/>
    <tableColumn id="17" xr3:uid="{00000000-0010-0000-0100-000011000000}" name="CPI (DATOS DE PRUEBA)"/>
    <tableColumn id="18" xr3:uid="{00000000-0010-0000-0100-000012000000}" name="SPI (DATOS DE PRUEBA)"/>
    <tableColumn id="19" xr3:uid="{00000000-0010-0000-0100-000013000000}" name="FECHA APROBACIÓN PROYECTO"/>
    <tableColumn id="20" xr3:uid="{00000000-0010-0000-0100-000014000000}" name="FECHA DE APERTURA DEL PRIMER PROCESO"/>
    <tableColumn id="21" xr3:uid="{00000000-0010-0000-0100-000015000000}" name="FECHA SUSCRIPCION"/>
    <tableColumn id="22" xr3:uid="{00000000-0010-0000-0100-000016000000}" name="FECHA ACTA INICIO"/>
    <tableColumn id="23" xr3:uid="{00000000-0010-0000-0100-000017000000}" name="FECHA DE CORTE GESPROY"/>
    <tableColumn id="24" xr3:uid="{00000000-0010-0000-0100-000018000000}" name="DIAS DESDE LA APROBACIÓN HASTA APERTURA DEL PRIMER PROCESO"/>
    <tableColumn id="25" xr3:uid="{00000000-0010-0000-0100-000019000000}" name="DIAS DESDE LA APERTURA HASTA LA FIRMA DEL PRIMER CONTRATO"/>
    <tableColumn id="26" xr3:uid="{00000000-0010-0000-0100-00001A000000}" name="DIAS DESDE LA FECHA DE SUSCRIPCIÓN HASTA LA FECHA DEL ACTA DE INICIO"/>
    <tableColumn id="27" xr3:uid="{00000000-0010-0000-0100-00001B000000}" name="DESEMPEÑO EN EL CRONOGRAMA"/>
    <tableColumn id="28" xr3:uid="{00000000-0010-0000-0100-00001C000000}" name="DESEMPEÑO EN EL COSTO"/>
    <tableColumn id="29" xr3:uid="{00000000-0010-0000-0100-00001D000000}" name="COLUMNA APOYO"/>
    <tableColumn id="30" xr3:uid="{00000000-0010-0000-0100-00001E000000}" name="BRECHA FISICO - FINANCIERA"/>
    <tableColumn id="31" xr3:uid="{00000000-0010-0000-0100-00001F000000}" name="CONTROL EXTERNALIDADES"/>
    <tableColumn id="32" xr3:uid="{00000000-0010-0000-0100-000020000000}" name="CALIFICACIÓN DESEMPEÑO EN LA CONTRATACIÓN"/>
    <tableColumn id="33" xr3:uid="{00000000-0010-0000-0100-000021000000}" name="CALIFICACIÓN INFORMACIÓN A TIEMPO"/>
    <tableColumn id="34" xr3:uid="{00000000-0010-0000-0100-000022000000}" name="CALIFICACIÓN CALIDAD INFORMACIÓN"/>
    <tableColumn id="35" xr3:uid="{00000000-0010-0000-0100-000023000000}" name="COLUMNA APOYO 2"/>
    <tableColumn id="36" xr3:uid="{00000000-0010-0000-0100-000024000000}" name="CALIFICACIÓN EJECUCIÓN DEL PROYECTO"/>
    <tableColumn id="37" xr3:uid="{00000000-0010-0000-0100-000025000000}" name="COMENTARIOS CALIFICACIÓ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rosEjecutoresMunicipios" displayName="OtrosEjecutoresMunicipios" ref="A2:R104" totalsRowShown="0">
  <autoFilter ref="A2:R104" xr:uid="{00000000-0009-0000-0100-000003000000}"/>
  <tableColumns count="18">
    <tableColumn id="1" xr3:uid="{00000000-0010-0000-0200-000001000000}" name="BPIN"/>
    <tableColumn id="2" xr3:uid="{00000000-0010-0000-0200-000002000000}" name="EJECUTOR"/>
    <tableColumn id="3" xr3:uid="{00000000-0010-0000-0200-000003000000}" name="NOMBRE DEL PROYECTO"/>
    <tableColumn id="4" xr3:uid="{00000000-0010-0000-0200-000004000000}" name="ALCANCE"/>
    <tableColumn id="5" xr3:uid="{00000000-0010-0000-0200-000005000000}" name="SECTOR"/>
    <tableColumn id="6" xr3:uid="{00000000-0010-0000-0200-000006000000}" name="FUENTE"/>
    <tableColumn id="7" xr3:uid="{00000000-0010-0000-0200-000007000000}" name="ESTADO PROYECTO"/>
    <tableColumn id="8" xr3:uid="{00000000-0010-0000-0200-000008000000}" name="ESTADO CONTRATO"/>
    <tableColumn id="9" xr3:uid="{00000000-0010-0000-0200-000009000000}" name="VALOR SGR"/>
    <tableColumn id="10" xr3:uid="{00000000-0010-0000-0200-00000A000000}" name="VALOR OTROS"/>
    <tableColumn id="11" xr3:uid="{00000000-0010-0000-0200-00000B000000}" name="VALOR TOTAL"/>
    <tableColumn id="12" xr3:uid="{00000000-0010-0000-0200-00000C000000}" name="FECHA APROBACIÓN PROYECTO"/>
    <tableColumn id="13" xr3:uid="{00000000-0010-0000-0200-00000D000000}" name="FECHA DE ASIGNACIÓN DE RECURSOS"/>
    <tableColumn id="14" xr3:uid="{00000000-0010-0000-0200-00000E000000}" name="FECHA DE INCORPORACIÓN DE RECUROS"/>
    <tableColumn id="15" xr3:uid="{00000000-0010-0000-0200-00000F000000}" name="FECHA ACTA INICIO"/>
    <tableColumn id="16" xr3:uid="{00000000-0010-0000-0200-000010000000}" name="AVANCE FÍSICO"/>
    <tableColumn id="17" xr3:uid="{00000000-0010-0000-0200-000011000000}" name="AVANCE FINANCIERO"/>
    <tableColumn id="18" xr3:uid="{00000000-0010-0000-0200-000012000000}" name="COMENTARIOS "/>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57"/>
  <sheetViews>
    <sheetView tabSelected="1" topLeftCell="X48" zoomScale="75" workbookViewId="0">
      <selection activeCell="AC5" sqref="AC5"/>
    </sheetView>
  </sheetViews>
  <sheetFormatPr baseColWidth="10" defaultColWidth="9.109375" defaultRowHeight="14.4" x14ac:dyDescent="0.3"/>
  <cols>
    <col min="1" max="2" width="25.6640625" customWidth="1"/>
    <col min="3" max="3" width="43.6640625" customWidth="1"/>
    <col min="4" max="4" width="30.6640625" customWidth="1"/>
    <col min="5" max="39" width="25.6640625" customWidth="1"/>
    <col min="40" max="40" width="25.6640625" hidden="1" customWidth="1"/>
    <col min="41" max="45" width="25.6640625" customWidth="1"/>
    <col min="46" max="46" width="25.6640625" hidden="1" customWidth="1"/>
    <col min="47" max="48" width="25.6640625" customWidth="1"/>
  </cols>
  <sheetData>
    <row r="1" spans="1:48" ht="39.9" customHeight="1" x14ac:dyDescent="0.3">
      <c r="A1" s="8" t="s">
        <v>0</v>
      </c>
      <c r="B1" s="8"/>
      <c r="C1" s="8"/>
      <c r="D1" s="8"/>
      <c r="E1" s="8"/>
      <c r="F1" s="8"/>
      <c r="G1" s="8"/>
      <c r="H1" s="8"/>
      <c r="I1" s="8"/>
      <c r="J1" s="8"/>
      <c r="K1" s="8"/>
      <c r="L1" s="8"/>
      <c r="M1" s="8"/>
      <c r="N1" s="8"/>
      <c r="O1" s="8"/>
      <c r="P1" s="8"/>
      <c r="Q1" s="8"/>
      <c r="R1" s="8"/>
      <c r="S1" s="8"/>
      <c r="T1" s="8"/>
      <c r="U1" s="9" t="s">
        <v>1</v>
      </c>
      <c r="V1" s="9"/>
      <c r="W1" s="9"/>
      <c r="X1" s="9"/>
      <c r="Y1" s="9"/>
      <c r="Z1" s="9"/>
      <c r="AA1" s="9"/>
      <c r="AB1" s="9"/>
      <c r="AC1" s="9"/>
      <c r="AD1" s="9"/>
      <c r="AE1" s="9"/>
      <c r="AF1" s="9"/>
      <c r="AG1" s="9"/>
      <c r="AH1" s="9"/>
      <c r="AI1" s="9"/>
      <c r="AJ1" s="9"/>
      <c r="AK1" s="9"/>
      <c r="AL1" s="9"/>
      <c r="AM1" s="9"/>
      <c r="AN1" s="9"/>
      <c r="AO1" s="9"/>
      <c r="AP1" s="9"/>
      <c r="AQ1" s="8" t="s">
        <v>2</v>
      </c>
      <c r="AR1" s="8"/>
      <c r="AS1" s="8"/>
      <c r="AT1" s="8"/>
      <c r="AU1" s="8"/>
      <c r="AV1" s="8"/>
    </row>
    <row r="2" spans="1:48" ht="69.900000000000006" customHeight="1" x14ac:dyDescent="0.3">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2" t="s">
        <v>23</v>
      </c>
      <c r="V2" s="2" t="s">
        <v>24</v>
      </c>
      <c r="W2" s="2" t="s">
        <v>25</v>
      </c>
      <c r="X2" s="2" t="s">
        <v>26</v>
      </c>
      <c r="Y2" s="2" t="s">
        <v>27</v>
      </c>
      <c r="Z2" s="2" t="s">
        <v>28</v>
      </c>
      <c r="AA2" s="2" t="s">
        <v>29</v>
      </c>
      <c r="AB2" s="2" t="s">
        <v>30</v>
      </c>
      <c r="AC2" s="2" t="s">
        <v>31</v>
      </c>
      <c r="AD2" s="2" t="s">
        <v>32</v>
      </c>
      <c r="AE2" s="2" t="s">
        <v>33</v>
      </c>
      <c r="AF2" s="2" t="s">
        <v>34</v>
      </c>
      <c r="AG2" s="2" t="s">
        <v>35</v>
      </c>
      <c r="AH2" s="2" t="s">
        <v>36</v>
      </c>
      <c r="AI2" s="2" t="s">
        <v>37</v>
      </c>
      <c r="AJ2" s="2" t="s">
        <v>38</v>
      </c>
      <c r="AK2" s="2" t="s">
        <v>39</v>
      </c>
      <c r="AL2" s="2" t="s">
        <v>40</v>
      </c>
      <c r="AM2" s="2" t="s">
        <v>41</v>
      </c>
      <c r="AN2" s="2" t="s">
        <v>42</v>
      </c>
      <c r="AO2" s="2" t="s">
        <v>43</v>
      </c>
      <c r="AP2" s="2" t="s">
        <v>44</v>
      </c>
      <c r="AQ2" s="1" t="s">
        <v>45</v>
      </c>
      <c r="AR2" s="1" t="s">
        <v>46</v>
      </c>
      <c r="AS2" s="1" t="s">
        <v>47</v>
      </c>
      <c r="AT2" s="1" t="s">
        <v>48</v>
      </c>
      <c r="AU2" s="1" t="s">
        <v>49</v>
      </c>
      <c r="AV2" s="1" t="s">
        <v>50</v>
      </c>
    </row>
    <row r="3" spans="1:48" ht="113.25" customHeight="1" x14ac:dyDescent="0.3">
      <c r="A3" s="7">
        <v>2012000020041</v>
      </c>
      <c r="B3" s="3" t="s">
        <v>51</v>
      </c>
      <c r="C3" s="3" t="s">
        <v>52</v>
      </c>
      <c r="D3" s="3" t="s">
        <v>660</v>
      </c>
      <c r="E3" s="3" t="s">
        <v>53</v>
      </c>
      <c r="F3" s="3"/>
      <c r="G3" s="3" t="s">
        <v>54</v>
      </c>
      <c r="H3" s="3" t="s">
        <v>55</v>
      </c>
      <c r="I3" s="3" t="s">
        <v>56</v>
      </c>
      <c r="J3" s="3" t="s">
        <v>57</v>
      </c>
      <c r="K3" s="4">
        <v>1548027380</v>
      </c>
      <c r="L3" s="4">
        <v>0</v>
      </c>
      <c r="M3" s="4">
        <v>0</v>
      </c>
      <c r="N3" s="4">
        <v>0</v>
      </c>
      <c r="O3" s="4">
        <v>1548027380</v>
      </c>
      <c r="P3" s="4">
        <v>1141660214</v>
      </c>
      <c r="Q3" s="5">
        <v>42221</v>
      </c>
      <c r="R3" s="5">
        <v>41534</v>
      </c>
      <c r="S3" s="5">
        <v>41202</v>
      </c>
      <c r="T3" s="5"/>
      <c r="U3" s="4">
        <v>97.19</v>
      </c>
      <c r="V3" s="4">
        <v>73.75</v>
      </c>
      <c r="W3" s="3">
        <v>0</v>
      </c>
      <c r="X3" s="3">
        <v>0</v>
      </c>
      <c r="Y3" s="5">
        <v>41201</v>
      </c>
      <c r="Z3" s="5">
        <v>41956</v>
      </c>
      <c r="AA3" s="5">
        <v>41971</v>
      </c>
      <c r="AB3" s="5">
        <v>41982</v>
      </c>
      <c r="AC3" s="6">
        <v>45260</v>
      </c>
      <c r="AD3" s="6"/>
      <c r="AE3" s="5">
        <v>46096</v>
      </c>
      <c r="AF3" s="3"/>
      <c r="AG3" s="3"/>
      <c r="AH3" s="3"/>
      <c r="AI3" s="3"/>
      <c r="AJ3" s="3"/>
      <c r="AK3" s="3"/>
      <c r="AL3" s="3">
        <f t="shared" ref="AL3:AL34" si="0">IF(AND($X3&gt;1.3,$G3="CONTRATADO EN EJECUCIÓN"),0,IF(AND($X3&gt;1.25,$X3&lt;=1.3,$G3="CONTRATADO EN EJECUCIÓN"),30,IF(AND($X3&gt;1.2,$X3&lt;=1.25,$G3="CONTRATADO EN EJECUCIÓN"),90,IF(AND($X3&gt;=0.84,$X3&lt;1.2,$G3="CONTRATADO EN EJECUCIÓN"),100,IF(AND($X3&gt;=0.38,$X3&lt;0.84,$G3="CONTRATADO EN EJECUCIÓN"),(($X3-0.38)/(0.84-0.38))*100,IF(AND($X3&lt;0.38,$G3="CONTRATADO EN EJECUCIÓN"),0,""))))))</f>
        <v>0</v>
      </c>
      <c r="AM3" s="3">
        <f t="shared" ref="AM3:AM34" si="1">IF(AND($W3&gt;1.3,$G3="CONTRATADO EN EJECUCIÓN"),0,IF(AND($W3&gt;1.25,$W3&lt;=1.3,$G3="CONTRATADO EN EJECUCIÓN"),30,IF(AND($W3&gt;1.2,$W3&lt;=1.25,$G3="CONTRATADO EN EJECUCIÓN"),90,IF(AND($W3&gt;=0.84,$W3&lt;1.2,$G3="CONTRATADO EN EJECUCIÓN"),100,IF(AND($W3&gt;=0.38,$W3&lt;0.84,$G3="CONTRATADO EN EJECUCIÓN"),(($W3-0.38)/(0.84-0.38))*100,IF(AND($W3&lt;0.38,$G3="CONTRATADO EN EJECUCIÓN"),0,""))))))</f>
        <v>0</v>
      </c>
      <c r="AN3" s="3">
        <f t="shared" ref="AN3:AN34" si="2">IF(AND($V3&lt;60,($V3-$U3)&lt;=50),100,IF(AND($V3&lt;60,($V3-$U3)&gt;50),0,IF(AND($V3&gt;=60,$V3&lt;70,($V3-$U3)&lt;=40),100,IF(AND($V3&gt;=60,$V3&lt;70,($V3-$U3)&gt;40),0,IF(AND($V3&gt;=70,$V3&lt;80,($V3-$U3)&lt;=30),100,IF(AND($V3&gt;=70,$V3&lt;80,($V3-$U3)&gt;30),0,IF(AND($V3&gt;=80,$V3&lt;90,($V3-$U3)&lt;=20),100,IF(AND($V3&gt;=80,$V3&lt;90,($V3-$U3)&gt;20),0,IF(AND($V3&gt;=90,$V3&lt;=100,($V3-$U3)&lt;=10),100,IF(AND($V3&gt;=90,$V3&lt;=100,($V3-$U3)&gt;10),0,""))))))))))</f>
        <v>100</v>
      </c>
      <c r="AO3" s="3">
        <f t="shared" ref="AO3:AO34" si="3">IF(AND($U3&gt;$V3,$G3="CONTRATADO EN EJECUCIÓN"),100,IF(AND($V3&gt;$U3,($V3-$U3)&gt;50,$G3="CONTRATADO EN EJECUCIÓN"),0,IF(AND($V3&gt;$U3,($V3-$U3)&lt;=50,$V3&lt;=60),100,IF(AND($V3&gt;$U3,($V3-$U3)&lt;=50,$V3&gt;60),$AN3,""))))</f>
        <v>100</v>
      </c>
      <c r="AP3" s="3">
        <v>1</v>
      </c>
      <c r="AQ3" s="3"/>
      <c r="AR3" s="3" t="str">
        <f t="shared" ref="AR3:AR34" si="4">IF(ISNUMBER($AH3),IF(DAY($AH3)=10,100,IF(DAY($AH3)=11,80,IF(DAY($AH3)=12,50,0))),"")</f>
        <v/>
      </c>
      <c r="AS3" s="3"/>
      <c r="AT3" s="3">
        <f t="shared" ref="AT3:AT34" si="5">IF($AP3=0,100,IF($AP3=1,90,IF($AP3=2,75,IF($AP3=3,60,IF($AP3=4,50,IF($AP3=5,25,IF($AP3&gt;=6,0,"")))))))</f>
        <v>90</v>
      </c>
      <c r="AU3" s="3" t="str">
        <f t="shared" ref="AU3:AU34" si="6">IFERROR(IF(AND($G3="CONTRATADO EN EJECUCIÓN",$AP3&gt;1),(IFERROR(IF(ISTEXT($AF3),($AL3*0.4+$AM3*0.2+$AO3*0.4),""),""))*$AT3/100,IFERROR(IF(ISTEXT($AF3),($AL3*0.4+$AM3*0.2+$AO3*0.4),""),"")),0)</f>
        <v/>
      </c>
      <c r="AV3" s="3"/>
    </row>
    <row r="4" spans="1:48" ht="69.900000000000006" customHeight="1" x14ac:dyDescent="0.3">
      <c r="A4" s="3">
        <v>2012000100008</v>
      </c>
      <c r="B4" s="3" t="s">
        <v>58</v>
      </c>
      <c r="C4" s="3" t="s">
        <v>59</v>
      </c>
      <c r="D4" s="3" t="s">
        <v>661</v>
      </c>
      <c r="E4" s="3" t="s">
        <v>60</v>
      </c>
      <c r="F4" s="3"/>
      <c r="G4" s="3" t="s">
        <v>54</v>
      </c>
      <c r="H4" s="3" t="s">
        <v>61</v>
      </c>
      <c r="I4" s="3" t="s">
        <v>62</v>
      </c>
      <c r="J4" s="3" t="s">
        <v>63</v>
      </c>
      <c r="K4" s="4">
        <v>5000000000</v>
      </c>
      <c r="L4" s="4">
        <v>0</v>
      </c>
      <c r="M4" s="4">
        <v>2520000000</v>
      </c>
      <c r="N4" s="4">
        <v>0</v>
      </c>
      <c r="O4" s="4">
        <v>7520000000</v>
      </c>
      <c r="P4" s="4">
        <v>4999998982.75</v>
      </c>
      <c r="Q4" s="5">
        <v>43829</v>
      </c>
      <c r="R4" s="5">
        <v>41534</v>
      </c>
      <c r="S4" s="5">
        <v>41264</v>
      </c>
      <c r="T4" s="5"/>
      <c r="U4" s="4">
        <v>99.05</v>
      </c>
      <c r="V4" s="4">
        <v>100</v>
      </c>
      <c r="W4" s="3">
        <v>0</v>
      </c>
      <c r="X4" s="3">
        <v>0</v>
      </c>
      <c r="Y4" s="5">
        <v>41263</v>
      </c>
      <c r="Z4" s="5">
        <v>41586</v>
      </c>
      <c r="AA4" s="5">
        <v>41586</v>
      </c>
      <c r="AB4" s="5">
        <v>41803</v>
      </c>
      <c r="AC4" s="3"/>
      <c r="AD4" s="6"/>
      <c r="AE4" s="5">
        <v>46096</v>
      </c>
      <c r="AF4" s="3"/>
      <c r="AG4" s="3"/>
      <c r="AH4" s="3"/>
      <c r="AI4" s="3"/>
      <c r="AJ4" s="3"/>
      <c r="AK4" s="3"/>
      <c r="AL4" s="3">
        <f t="shared" si="0"/>
        <v>0</v>
      </c>
      <c r="AM4" s="3">
        <f t="shared" si="1"/>
        <v>0</v>
      </c>
      <c r="AN4" s="3">
        <f t="shared" si="2"/>
        <v>100</v>
      </c>
      <c r="AO4" s="3">
        <f t="shared" si="3"/>
        <v>100</v>
      </c>
      <c r="AP4" s="3"/>
      <c r="AQ4" s="3"/>
      <c r="AR4" s="3" t="str">
        <f t="shared" si="4"/>
        <v/>
      </c>
      <c r="AS4" s="3"/>
      <c r="AT4" s="3">
        <f t="shared" si="5"/>
        <v>100</v>
      </c>
      <c r="AU4" s="3" t="str">
        <f t="shared" si="6"/>
        <v/>
      </c>
      <c r="AV4" s="3"/>
    </row>
    <row r="5" spans="1:48" ht="69.900000000000006" customHeight="1" x14ac:dyDescent="0.3">
      <c r="A5" s="3" t="s">
        <v>64</v>
      </c>
      <c r="B5" s="3" t="s">
        <v>65</v>
      </c>
      <c r="C5" s="3" t="s">
        <v>66</v>
      </c>
      <c r="D5" s="3"/>
      <c r="E5" s="3" t="s">
        <v>60</v>
      </c>
      <c r="F5" s="3"/>
      <c r="G5" s="3" t="s">
        <v>67</v>
      </c>
      <c r="H5" s="3" t="s">
        <v>61</v>
      </c>
      <c r="I5" s="3" t="s">
        <v>62</v>
      </c>
      <c r="J5" s="3" t="s">
        <v>63</v>
      </c>
      <c r="K5" s="4">
        <v>4081742194</v>
      </c>
      <c r="L5" s="4">
        <v>0</v>
      </c>
      <c r="M5" s="4">
        <v>1551552044</v>
      </c>
      <c r="N5" s="4">
        <v>0</v>
      </c>
      <c r="O5" s="4">
        <v>5633294238</v>
      </c>
      <c r="P5" s="4">
        <v>3947804318</v>
      </c>
      <c r="Q5" s="5">
        <v>43782</v>
      </c>
      <c r="R5" s="5">
        <v>41576</v>
      </c>
      <c r="S5" s="5">
        <v>41566</v>
      </c>
      <c r="T5" s="5"/>
      <c r="U5" s="4">
        <v>98.69</v>
      </c>
      <c r="V5" s="4">
        <v>94.36</v>
      </c>
      <c r="W5" s="3"/>
      <c r="X5" s="3"/>
      <c r="Y5" s="5">
        <v>41565</v>
      </c>
      <c r="Z5" s="5">
        <v>41907</v>
      </c>
      <c r="AA5" s="5">
        <v>41908</v>
      </c>
      <c r="AB5" s="5">
        <v>42038</v>
      </c>
      <c r="AC5" s="3"/>
      <c r="AD5" s="6">
        <v>45689</v>
      </c>
      <c r="AE5" s="5">
        <v>46096</v>
      </c>
      <c r="AF5" s="3"/>
      <c r="AG5" s="3"/>
      <c r="AH5" s="3"/>
      <c r="AI5" s="3"/>
      <c r="AJ5" s="3"/>
      <c r="AK5" s="3"/>
      <c r="AL5" s="3" t="str">
        <f t="shared" si="0"/>
        <v/>
      </c>
      <c r="AM5" s="3" t="str">
        <f t="shared" si="1"/>
        <v/>
      </c>
      <c r="AN5" s="3">
        <f t="shared" si="2"/>
        <v>100</v>
      </c>
      <c r="AO5" s="3" t="str">
        <f t="shared" si="3"/>
        <v/>
      </c>
      <c r="AP5" s="3"/>
      <c r="AQ5" s="3"/>
      <c r="AR5" s="3" t="str">
        <f t="shared" si="4"/>
        <v/>
      </c>
      <c r="AS5" s="3"/>
      <c r="AT5" s="3">
        <f t="shared" si="5"/>
        <v>100</v>
      </c>
      <c r="AU5" s="3" t="str">
        <f t="shared" si="6"/>
        <v/>
      </c>
      <c r="AV5" s="3"/>
    </row>
    <row r="6" spans="1:48" ht="69.900000000000006" customHeight="1" x14ac:dyDescent="0.3">
      <c r="A6" s="3" t="s">
        <v>68</v>
      </c>
      <c r="B6" s="3" t="s">
        <v>51</v>
      </c>
      <c r="C6" s="3" t="s">
        <v>69</v>
      </c>
      <c r="D6" s="3"/>
      <c r="E6" s="3" t="s">
        <v>60</v>
      </c>
      <c r="F6" s="3"/>
      <c r="G6" s="3" t="s">
        <v>54</v>
      </c>
      <c r="H6" s="3" t="s">
        <v>70</v>
      </c>
      <c r="I6" s="3" t="s">
        <v>62</v>
      </c>
      <c r="J6" s="3" t="s">
        <v>63</v>
      </c>
      <c r="K6" s="4">
        <v>14661580598</v>
      </c>
      <c r="L6" s="4">
        <v>0</v>
      </c>
      <c r="M6" s="4">
        <v>709988000</v>
      </c>
      <c r="N6" s="4">
        <v>0</v>
      </c>
      <c r="O6" s="4">
        <v>15371568598</v>
      </c>
      <c r="P6" s="4">
        <v>14655980598</v>
      </c>
      <c r="Q6" s="5">
        <v>42003</v>
      </c>
      <c r="R6" s="5">
        <v>41563</v>
      </c>
      <c r="S6" s="5">
        <v>41535</v>
      </c>
      <c r="T6" s="5"/>
      <c r="U6" s="4">
        <v>95.65</v>
      </c>
      <c r="V6" s="4">
        <v>97.17</v>
      </c>
      <c r="W6" s="3"/>
      <c r="X6" s="3"/>
      <c r="Y6" s="5">
        <v>41474</v>
      </c>
      <c r="Z6" s="5">
        <v>41586</v>
      </c>
      <c r="AA6" s="5">
        <v>41586</v>
      </c>
      <c r="AB6" s="5">
        <v>41586</v>
      </c>
      <c r="AC6" s="6">
        <v>46023</v>
      </c>
      <c r="AD6" s="6"/>
      <c r="AE6" s="5">
        <v>46096</v>
      </c>
      <c r="AF6" s="3"/>
      <c r="AG6" s="3"/>
      <c r="AH6" s="3"/>
      <c r="AI6" s="3"/>
      <c r="AJ6" s="3"/>
      <c r="AK6" s="3"/>
      <c r="AL6" s="3">
        <f t="shared" si="0"/>
        <v>0</v>
      </c>
      <c r="AM6" s="3">
        <f t="shared" si="1"/>
        <v>0</v>
      </c>
      <c r="AN6" s="3">
        <f t="shared" si="2"/>
        <v>100</v>
      </c>
      <c r="AO6" s="3">
        <f t="shared" si="3"/>
        <v>100</v>
      </c>
      <c r="AP6" s="3"/>
      <c r="AQ6" s="3"/>
      <c r="AR6" s="3" t="str">
        <f t="shared" si="4"/>
        <v/>
      </c>
      <c r="AS6" s="3"/>
      <c r="AT6" s="3">
        <f t="shared" si="5"/>
        <v>100</v>
      </c>
      <c r="AU6" s="3" t="str">
        <f t="shared" si="6"/>
        <v/>
      </c>
      <c r="AV6" s="3"/>
    </row>
    <row r="7" spans="1:48" ht="69.900000000000006" customHeight="1" x14ac:dyDescent="0.3">
      <c r="A7" s="3" t="s">
        <v>71</v>
      </c>
      <c r="B7" s="3" t="s">
        <v>72</v>
      </c>
      <c r="C7" s="3" t="s">
        <v>73</v>
      </c>
      <c r="D7" s="3"/>
      <c r="E7" s="3" t="s">
        <v>74</v>
      </c>
      <c r="F7" s="3"/>
      <c r="G7" s="3" t="s">
        <v>67</v>
      </c>
      <c r="H7" s="3" t="s">
        <v>61</v>
      </c>
      <c r="I7" s="3" t="s">
        <v>75</v>
      </c>
      <c r="J7" s="3" t="s">
        <v>76</v>
      </c>
      <c r="K7" s="4">
        <v>30476618849</v>
      </c>
      <c r="L7" s="4">
        <v>0</v>
      </c>
      <c r="M7" s="4">
        <v>422485223</v>
      </c>
      <c r="N7" s="4">
        <v>0</v>
      </c>
      <c r="O7" s="4">
        <v>30899104072</v>
      </c>
      <c r="P7" s="4">
        <v>30240028841.950001</v>
      </c>
      <c r="Q7" s="5">
        <v>45434</v>
      </c>
      <c r="R7" s="5">
        <v>42662</v>
      </c>
      <c r="S7" s="5">
        <v>42658</v>
      </c>
      <c r="T7" s="5"/>
      <c r="U7" s="4">
        <v>100</v>
      </c>
      <c r="V7" s="4">
        <v>97.87</v>
      </c>
      <c r="W7" s="3"/>
      <c r="X7" s="3"/>
      <c r="Y7" s="5">
        <v>42657</v>
      </c>
      <c r="Z7" s="5">
        <v>42909</v>
      </c>
      <c r="AA7" s="5">
        <v>42986</v>
      </c>
      <c r="AB7" s="5">
        <v>43207</v>
      </c>
      <c r="AC7" s="3" t="s">
        <v>77</v>
      </c>
      <c r="AD7" s="6"/>
      <c r="AE7" s="5">
        <v>46096</v>
      </c>
      <c r="AF7" s="3"/>
      <c r="AG7" s="3"/>
      <c r="AH7" s="3"/>
      <c r="AI7" s="3"/>
      <c r="AJ7" s="3"/>
      <c r="AK7" s="3"/>
      <c r="AL7" s="3" t="str">
        <f t="shared" si="0"/>
        <v/>
      </c>
      <c r="AM7" s="3" t="str">
        <f t="shared" si="1"/>
        <v/>
      </c>
      <c r="AN7" s="3">
        <f t="shared" si="2"/>
        <v>100</v>
      </c>
      <c r="AO7" s="3" t="str">
        <f t="shared" si="3"/>
        <v/>
      </c>
      <c r="AP7" s="3"/>
      <c r="AQ7" s="3"/>
      <c r="AR7" s="3" t="str">
        <f t="shared" si="4"/>
        <v/>
      </c>
      <c r="AS7" s="3"/>
      <c r="AT7" s="3">
        <f t="shared" si="5"/>
        <v>100</v>
      </c>
      <c r="AU7" s="3" t="str">
        <f t="shared" si="6"/>
        <v/>
      </c>
      <c r="AV7" s="3"/>
    </row>
    <row r="8" spans="1:48" ht="69.900000000000006" customHeight="1" x14ac:dyDescent="0.3">
      <c r="A8" s="3" t="s">
        <v>78</v>
      </c>
      <c r="B8" s="3" t="s">
        <v>51</v>
      </c>
      <c r="C8" s="3" t="s">
        <v>79</v>
      </c>
      <c r="D8" s="3"/>
      <c r="E8" s="3" t="s">
        <v>60</v>
      </c>
      <c r="F8" s="3"/>
      <c r="G8" s="3" t="s">
        <v>67</v>
      </c>
      <c r="H8" s="3" t="s">
        <v>55</v>
      </c>
      <c r="I8" s="3" t="s">
        <v>62</v>
      </c>
      <c r="J8" s="3"/>
      <c r="K8" s="4">
        <v>11741345301</v>
      </c>
      <c r="L8" s="4">
        <v>0</v>
      </c>
      <c r="M8" s="4">
        <v>265600000</v>
      </c>
      <c r="N8" s="4">
        <v>0</v>
      </c>
      <c r="O8" s="4">
        <v>12006945301</v>
      </c>
      <c r="P8" s="4">
        <v>11473460596.700001</v>
      </c>
      <c r="Q8" s="5">
        <v>44868</v>
      </c>
      <c r="R8" s="5">
        <v>43019</v>
      </c>
      <c r="S8" s="5">
        <v>42914</v>
      </c>
      <c r="T8" s="5"/>
      <c r="U8" s="4">
        <v>100</v>
      </c>
      <c r="V8" s="4">
        <v>97.77</v>
      </c>
      <c r="W8" s="3"/>
      <c r="X8" s="3"/>
      <c r="Y8" s="5">
        <v>42801</v>
      </c>
      <c r="Z8" s="5">
        <v>43048</v>
      </c>
      <c r="AA8" s="5">
        <v>43095</v>
      </c>
      <c r="AB8" s="5">
        <v>43280</v>
      </c>
      <c r="AC8" s="3"/>
      <c r="AD8" s="6">
        <v>45797</v>
      </c>
      <c r="AE8" s="5">
        <v>46096</v>
      </c>
      <c r="AF8" s="3"/>
      <c r="AG8" s="3"/>
      <c r="AH8" s="3"/>
      <c r="AI8" s="3"/>
      <c r="AJ8" s="3"/>
      <c r="AK8" s="3"/>
      <c r="AL8" s="3" t="str">
        <f t="shared" si="0"/>
        <v/>
      </c>
      <c r="AM8" s="3" t="str">
        <f t="shared" si="1"/>
        <v/>
      </c>
      <c r="AN8" s="3">
        <f t="shared" si="2"/>
        <v>100</v>
      </c>
      <c r="AO8" s="3" t="str">
        <f t="shared" si="3"/>
        <v/>
      </c>
      <c r="AP8" s="3"/>
      <c r="AQ8" s="3"/>
      <c r="AR8" s="3" t="str">
        <f t="shared" si="4"/>
        <v/>
      </c>
      <c r="AS8" s="3"/>
      <c r="AT8" s="3">
        <f t="shared" si="5"/>
        <v>100</v>
      </c>
      <c r="AU8" s="3" t="str">
        <f t="shared" si="6"/>
        <v/>
      </c>
      <c r="AV8" s="3"/>
    </row>
    <row r="9" spans="1:48" ht="69.900000000000006" customHeight="1" x14ac:dyDescent="0.3">
      <c r="A9" s="3" t="s">
        <v>80</v>
      </c>
      <c r="B9" s="3" t="s">
        <v>72</v>
      </c>
      <c r="C9" s="3" t="s">
        <v>81</v>
      </c>
      <c r="D9" s="3"/>
      <c r="E9" s="3" t="s">
        <v>74</v>
      </c>
      <c r="F9" s="3"/>
      <c r="G9" s="3" t="s">
        <v>54</v>
      </c>
      <c r="H9" s="3" t="s">
        <v>70</v>
      </c>
      <c r="I9" s="3" t="s">
        <v>75</v>
      </c>
      <c r="J9" s="3" t="s">
        <v>57</v>
      </c>
      <c r="K9" s="4">
        <v>189749519481.00461</v>
      </c>
      <c r="L9" s="4">
        <v>0</v>
      </c>
      <c r="M9" s="4">
        <v>0</v>
      </c>
      <c r="N9" s="4">
        <v>0</v>
      </c>
      <c r="O9" s="4">
        <v>189749519481.00461</v>
      </c>
      <c r="P9" s="4">
        <v>188735128008.62</v>
      </c>
      <c r="Q9" s="5">
        <v>45656</v>
      </c>
      <c r="R9" s="5">
        <v>42942</v>
      </c>
      <c r="S9" s="5">
        <v>42923</v>
      </c>
      <c r="T9" s="5"/>
      <c r="U9" s="4">
        <v>91.6</v>
      </c>
      <c r="V9" s="4">
        <v>99.47</v>
      </c>
      <c r="W9" s="3"/>
      <c r="X9" s="3"/>
      <c r="Y9" s="5">
        <v>42922</v>
      </c>
      <c r="Z9" s="5">
        <v>43249</v>
      </c>
      <c r="AA9" s="5">
        <v>43532</v>
      </c>
      <c r="AB9" s="5">
        <v>43591</v>
      </c>
      <c r="AC9" s="3"/>
      <c r="AD9" s="6"/>
      <c r="AE9" s="5">
        <v>46096</v>
      </c>
      <c r="AF9" s="3"/>
      <c r="AG9" s="3"/>
      <c r="AH9" s="3"/>
      <c r="AI9" s="3"/>
      <c r="AJ9" s="3"/>
      <c r="AK9" s="3"/>
      <c r="AL9" s="3">
        <f t="shared" si="0"/>
        <v>0</v>
      </c>
      <c r="AM9" s="3">
        <f t="shared" si="1"/>
        <v>0</v>
      </c>
      <c r="AN9" s="3">
        <f t="shared" si="2"/>
        <v>100</v>
      </c>
      <c r="AO9" s="3">
        <f t="shared" si="3"/>
        <v>100</v>
      </c>
      <c r="AP9" s="3"/>
      <c r="AQ9" s="3"/>
      <c r="AR9" s="3" t="str">
        <f t="shared" si="4"/>
        <v/>
      </c>
      <c r="AS9" s="3"/>
      <c r="AT9" s="3">
        <f t="shared" si="5"/>
        <v>100</v>
      </c>
      <c r="AU9" s="3" t="str">
        <f t="shared" si="6"/>
        <v/>
      </c>
      <c r="AV9" s="3"/>
    </row>
    <row r="10" spans="1:48" ht="69.900000000000006" customHeight="1" x14ac:dyDescent="0.3">
      <c r="A10" s="3" t="s">
        <v>82</v>
      </c>
      <c r="B10" s="3" t="s">
        <v>65</v>
      </c>
      <c r="C10" s="3" t="s">
        <v>83</v>
      </c>
      <c r="D10" s="3"/>
      <c r="E10" s="3" t="s">
        <v>60</v>
      </c>
      <c r="F10" s="3"/>
      <c r="G10" s="3" t="s">
        <v>67</v>
      </c>
      <c r="H10" s="3" t="s">
        <v>61</v>
      </c>
      <c r="I10" s="3" t="s">
        <v>84</v>
      </c>
      <c r="J10" s="3" t="s">
        <v>63</v>
      </c>
      <c r="K10" s="4">
        <v>15331463849</v>
      </c>
      <c r="L10" s="4">
        <v>0</v>
      </c>
      <c r="M10" s="4">
        <v>201232188</v>
      </c>
      <c r="N10" s="4">
        <v>0</v>
      </c>
      <c r="O10" s="4">
        <v>15532696037</v>
      </c>
      <c r="P10" s="4">
        <v>15173637605</v>
      </c>
      <c r="Q10" s="5">
        <v>44918</v>
      </c>
      <c r="R10" s="5">
        <v>43815</v>
      </c>
      <c r="S10" s="5">
        <v>43790</v>
      </c>
      <c r="T10" s="5"/>
      <c r="U10" s="4">
        <v>100</v>
      </c>
      <c r="V10" s="4">
        <v>98.98</v>
      </c>
      <c r="W10" s="3"/>
      <c r="X10" s="3"/>
      <c r="Y10" s="5">
        <v>43781</v>
      </c>
      <c r="Z10" s="5">
        <v>43819</v>
      </c>
      <c r="AA10" s="5">
        <v>43826</v>
      </c>
      <c r="AB10" s="5">
        <v>43908</v>
      </c>
      <c r="AC10" s="3"/>
      <c r="AD10" s="6"/>
      <c r="AE10" s="5">
        <v>46096</v>
      </c>
      <c r="AF10" s="3"/>
      <c r="AG10" s="3"/>
      <c r="AH10" s="3"/>
      <c r="AI10" s="3"/>
      <c r="AJ10" s="3"/>
      <c r="AK10" s="3"/>
      <c r="AL10" s="3" t="str">
        <f t="shared" si="0"/>
        <v/>
      </c>
      <c r="AM10" s="3" t="str">
        <f t="shared" si="1"/>
        <v/>
      </c>
      <c r="AN10" s="3">
        <f t="shared" si="2"/>
        <v>100</v>
      </c>
      <c r="AO10" s="3" t="str">
        <f t="shared" si="3"/>
        <v/>
      </c>
      <c r="AP10" s="3"/>
      <c r="AQ10" s="3"/>
      <c r="AR10" s="3" t="str">
        <f t="shared" si="4"/>
        <v/>
      </c>
      <c r="AS10" s="3"/>
      <c r="AT10" s="3">
        <f t="shared" si="5"/>
        <v>100</v>
      </c>
      <c r="AU10" s="3" t="str">
        <f t="shared" si="6"/>
        <v/>
      </c>
      <c r="AV10" s="3"/>
    </row>
    <row r="11" spans="1:48" ht="69.900000000000006" customHeight="1" x14ac:dyDescent="0.3">
      <c r="A11" s="3" t="s">
        <v>85</v>
      </c>
      <c r="B11" s="3" t="s">
        <v>65</v>
      </c>
      <c r="C11" s="3" t="s">
        <v>86</v>
      </c>
      <c r="D11" s="3"/>
      <c r="E11" s="3" t="s">
        <v>60</v>
      </c>
      <c r="F11" s="3"/>
      <c r="G11" s="3" t="s">
        <v>67</v>
      </c>
      <c r="H11" s="3" t="s">
        <v>61</v>
      </c>
      <c r="I11" s="3" t="s">
        <v>62</v>
      </c>
      <c r="J11" s="3" t="s">
        <v>63</v>
      </c>
      <c r="K11" s="4">
        <v>14300800098.139999</v>
      </c>
      <c r="L11" s="4">
        <v>0</v>
      </c>
      <c r="M11" s="4">
        <v>493878438</v>
      </c>
      <c r="N11" s="4">
        <v>0</v>
      </c>
      <c r="O11" s="4">
        <v>14794678536.139999</v>
      </c>
      <c r="P11" s="4">
        <v>13948285627.540001</v>
      </c>
      <c r="Q11" s="5">
        <v>44839</v>
      </c>
      <c r="R11" s="5">
        <v>43348</v>
      </c>
      <c r="S11" s="5">
        <v>43323</v>
      </c>
      <c r="T11" s="5"/>
      <c r="U11" s="4">
        <v>97.37</v>
      </c>
      <c r="V11" s="4">
        <v>97.61</v>
      </c>
      <c r="W11" s="3"/>
      <c r="X11" s="3"/>
      <c r="Y11" s="5">
        <v>43322</v>
      </c>
      <c r="Z11" s="5">
        <v>43444</v>
      </c>
      <c r="AA11" s="5">
        <v>43508</v>
      </c>
      <c r="AB11" s="5">
        <v>43543</v>
      </c>
      <c r="AC11" s="3"/>
      <c r="AD11" s="6"/>
      <c r="AE11" s="5">
        <v>46096</v>
      </c>
      <c r="AF11" s="3"/>
      <c r="AG11" s="3"/>
      <c r="AH11" s="3"/>
      <c r="AI11" s="3"/>
      <c r="AJ11" s="3"/>
      <c r="AK11" s="3"/>
      <c r="AL11" s="3" t="str">
        <f t="shared" si="0"/>
        <v/>
      </c>
      <c r="AM11" s="3" t="str">
        <f t="shared" si="1"/>
        <v/>
      </c>
      <c r="AN11" s="3">
        <f t="shared" si="2"/>
        <v>100</v>
      </c>
      <c r="AO11" s="3">
        <f t="shared" si="3"/>
        <v>100</v>
      </c>
      <c r="AP11" s="3"/>
      <c r="AQ11" s="3"/>
      <c r="AR11" s="3" t="str">
        <f t="shared" si="4"/>
        <v/>
      </c>
      <c r="AS11" s="3"/>
      <c r="AT11" s="3">
        <f t="shared" si="5"/>
        <v>100</v>
      </c>
      <c r="AU11" s="3" t="str">
        <f t="shared" si="6"/>
        <v/>
      </c>
      <c r="AV11" s="3"/>
    </row>
    <row r="12" spans="1:48" ht="69.900000000000006" customHeight="1" x14ac:dyDescent="0.3">
      <c r="A12" s="3" t="s">
        <v>87</v>
      </c>
      <c r="B12" s="3" t="s">
        <v>72</v>
      </c>
      <c r="C12" s="3" t="s">
        <v>88</v>
      </c>
      <c r="D12" s="3"/>
      <c r="E12" s="3" t="s">
        <v>74</v>
      </c>
      <c r="F12" s="3"/>
      <c r="G12" s="3" t="s">
        <v>67</v>
      </c>
      <c r="H12" s="3" t="s">
        <v>61</v>
      </c>
      <c r="I12" s="3" t="s">
        <v>75</v>
      </c>
      <c r="J12" s="3"/>
      <c r="K12" s="4">
        <v>66912604863.639999</v>
      </c>
      <c r="L12" s="4">
        <v>0</v>
      </c>
      <c r="M12" s="4">
        <v>0</v>
      </c>
      <c r="N12" s="4">
        <v>0</v>
      </c>
      <c r="O12" s="4">
        <v>66912604863.639999</v>
      </c>
      <c r="P12" s="4">
        <v>65182688683.440002</v>
      </c>
      <c r="Q12" s="5">
        <v>45653</v>
      </c>
      <c r="R12" s="5">
        <v>43433</v>
      </c>
      <c r="S12" s="5">
        <v>43224</v>
      </c>
      <c r="T12" s="5"/>
      <c r="U12" s="4">
        <v>99.61</v>
      </c>
      <c r="V12" s="4">
        <v>97.41</v>
      </c>
      <c r="W12" s="3"/>
      <c r="X12" s="3"/>
      <c r="Y12" s="5">
        <v>43193</v>
      </c>
      <c r="Z12" s="5">
        <v>43628</v>
      </c>
      <c r="AA12" s="5">
        <v>43753</v>
      </c>
      <c r="AB12" s="5">
        <v>43781</v>
      </c>
      <c r="AC12" s="3"/>
      <c r="AD12" s="6"/>
      <c r="AE12" s="5">
        <v>46096</v>
      </c>
      <c r="AF12" s="3"/>
      <c r="AG12" s="3"/>
      <c r="AH12" s="3"/>
      <c r="AI12" s="3"/>
      <c r="AJ12" s="3"/>
      <c r="AK12" s="3"/>
      <c r="AL12" s="3" t="str">
        <f t="shared" si="0"/>
        <v/>
      </c>
      <c r="AM12" s="3" t="str">
        <f t="shared" si="1"/>
        <v/>
      </c>
      <c r="AN12" s="3">
        <f t="shared" si="2"/>
        <v>100</v>
      </c>
      <c r="AO12" s="3" t="str">
        <f t="shared" si="3"/>
        <v/>
      </c>
      <c r="AP12" s="3"/>
      <c r="AQ12" s="3"/>
      <c r="AR12" s="3" t="str">
        <f t="shared" si="4"/>
        <v/>
      </c>
      <c r="AS12" s="3"/>
      <c r="AT12" s="3">
        <f t="shared" si="5"/>
        <v>100</v>
      </c>
      <c r="AU12" s="3" t="str">
        <f t="shared" si="6"/>
        <v/>
      </c>
      <c r="AV12" s="3"/>
    </row>
    <row r="13" spans="1:48" ht="69.900000000000006" customHeight="1" x14ac:dyDescent="0.3">
      <c r="A13" s="3" t="s">
        <v>89</v>
      </c>
      <c r="B13" s="3" t="s">
        <v>65</v>
      </c>
      <c r="C13" s="3" t="s">
        <v>90</v>
      </c>
      <c r="D13" s="3"/>
      <c r="E13" s="3" t="s">
        <v>91</v>
      </c>
      <c r="F13" s="3"/>
      <c r="G13" s="3" t="s">
        <v>54</v>
      </c>
      <c r="H13" s="3" t="s">
        <v>70</v>
      </c>
      <c r="I13" s="3" t="s">
        <v>92</v>
      </c>
      <c r="J13" s="3" t="s">
        <v>93</v>
      </c>
      <c r="K13" s="4">
        <v>14525812035</v>
      </c>
      <c r="L13" s="4">
        <v>0</v>
      </c>
      <c r="M13" s="4">
        <v>0</v>
      </c>
      <c r="N13" s="4">
        <v>0</v>
      </c>
      <c r="O13" s="4">
        <v>14525812035</v>
      </c>
      <c r="P13" s="4">
        <v>13157700631.99</v>
      </c>
      <c r="Q13" s="5">
        <v>45603</v>
      </c>
      <c r="R13" s="5">
        <v>45076</v>
      </c>
      <c r="S13" s="5">
        <v>45066</v>
      </c>
      <c r="T13" s="5">
        <v>45084</v>
      </c>
      <c r="U13" s="4">
        <v>98.11</v>
      </c>
      <c r="V13" s="4">
        <v>90.58</v>
      </c>
      <c r="W13" s="3"/>
      <c r="X13" s="3"/>
      <c r="Y13" s="5">
        <v>45064</v>
      </c>
      <c r="Z13" s="5">
        <v>45260</v>
      </c>
      <c r="AA13" s="5">
        <v>45289</v>
      </c>
      <c r="AB13" s="5">
        <v>45301</v>
      </c>
      <c r="AC13" s="3"/>
      <c r="AD13" s="6"/>
      <c r="AE13" s="5">
        <v>46096</v>
      </c>
      <c r="AF13" s="3"/>
      <c r="AG13" s="3"/>
      <c r="AH13" s="3"/>
      <c r="AI13" s="3"/>
      <c r="AJ13" s="3"/>
      <c r="AK13" s="3"/>
      <c r="AL13" s="3">
        <f t="shared" si="0"/>
        <v>0</v>
      </c>
      <c r="AM13" s="3">
        <f t="shared" si="1"/>
        <v>0</v>
      </c>
      <c r="AN13" s="3">
        <f t="shared" si="2"/>
        <v>100</v>
      </c>
      <c r="AO13" s="3">
        <f t="shared" si="3"/>
        <v>100</v>
      </c>
      <c r="AP13" s="3"/>
      <c r="AQ13" s="3"/>
      <c r="AR13" s="3" t="str">
        <f t="shared" si="4"/>
        <v/>
      </c>
      <c r="AS13" s="3"/>
      <c r="AT13" s="3">
        <f t="shared" si="5"/>
        <v>100</v>
      </c>
      <c r="AU13" s="3" t="str">
        <f t="shared" si="6"/>
        <v/>
      </c>
      <c r="AV13" s="3"/>
    </row>
    <row r="14" spans="1:48" ht="69.900000000000006" customHeight="1" x14ac:dyDescent="0.3">
      <c r="A14" s="3" t="s">
        <v>94</v>
      </c>
      <c r="B14" s="3" t="s">
        <v>72</v>
      </c>
      <c r="C14" s="3" t="s">
        <v>95</v>
      </c>
      <c r="D14" s="3"/>
      <c r="E14" s="3" t="s">
        <v>74</v>
      </c>
      <c r="F14" s="3"/>
      <c r="G14" s="3" t="s">
        <v>67</v>
      </c>
      <c r="H14" s="3" t="s">
        <v>61</v>
      </c>
      <c r="I14" s="3" t="s">
        <v>96</v>
      </c>
      <c r="J14" s="3" t="s">
        <v>76</v>
      </c>
      <c r="K14" s="4">
        <v>4457416400</v>
      </c>
      <c r="L14" s="4">
        <v>0</v>
      </c>
      <c r="M14" s="4">
        <v>0</v>
      </c>
      <c r="N14" s="4">
        <v>0</v>
      </c>
      <c r="O14" s="4">
        <v>4457416400</v>
      </c>
      <c r="P14" s="4">
        <v>4434194362.5</v>
      </c>
      <c r="Q14" s="5">
        <v>45656</v>
      </c>
      <c r="R14" s="5">
        <v>44199</v>
      </c>
      <c r="S14" s="5">
        <v>44196</v>
      </c>
      <c r="T14" s="5"/>
      <c r="U14" s="4">
        <v>100</v>
      </c>
      <c r="V14" s="4">
        <v>99.48</v>
      </c>
      <c r="W14" s="3"/>
      <c r="X14" s="3"/>
      <c r="Y14" s="5">
        <v>44195</v>
      </c>
      <c r="Z14" s="5">
        <v>44376</v>
      </c>
      <c r="AA14" s="5">
        <v>44410</v>
      </c>
      <c r="AB14" s="5">
        <v>44504</v>
      </c>
      <c r="AC14" s="3"/>
      <c r="AD14" s="6"/>
      <c r="AE14" s="5">
        <v>46096</v>
      </c>
      <c r="AF14" s="3"/>
      <c r="AG14" s="3"/>
      <c r="AH14" s="3"/>
      <c r="AI14" s="3"/>
      <c r="AJ14" s="3"/>
      <c r="AK14" s="3"/>
      <c r="AL14" s="3" t="str">
        <f t="shared" si="0"/>
        <v/>
      </c>
      <c r="AM14" s="3" t="str">
        <f t="shared" si="1"/>
        <v/>
      </c>
      <c r="AN14" s="3">
        <f t="shared" si="2"/>
        <v>100</v>
      </c>
      <c r="AO14" s="3" t="str">
        <f t="shared" si="3"/>
        <v/>
      </c>
      <c r="AP14" s="3"/>
      <c r="AQ14" s="3"/>
      <c r="AR14" s="3" t="str">
        <f t="shared" si="4"/>
        <v/>
      </c>
      <c r="AS14" s="3"/>
      <c r="AT14" s="3">
        <f t="shared" si="5"/>
        <v>100</v>
      </c>
      <c r="AU14" s="3" t="str">
        <f t="shared" si="6"/>
        <v/>
      </c>
      <c r="AV14" s="3"/>
    </row>
    <row r="15" spans="1:48" ht="69.900000000000006" customHeight="1" x14ac:dyDescent="0.3">
      <c r="A15" s="3" t="s">
        <v>97</v>
      </c>
      <c r="B15" s="3" t="s">
        <v>65</v>
      </c>
      <c r="C15" s="3" t="s">
        <v>98</v>
      </c>
      <c r="D15" s="3"/>
      <c r="E15" s="3" t="s">
        <v>60</v>
      </c>
      <c r="F15" s="3"/>
      <c r="G15" s="3" t="s">
        <v>54</v>
      </c>
      <c r="H15" s="3" t="s">
        <v>70</v>
      </c>
      <c r="I15" s="3" t="s">
        <v>62</v>
      </c>
      <c r="J15" s="3" t="s">
        <v>99</v>
      </c>
      <c r="K15" s="4">
        <v>9991937324.4500008</v>
      </c>
      <c r="L15" s="4">
        <v>0</v>
      </c>
      <c r="M15" s="4">
        <v>239336814</v>
      </c>
      <c r="N15" s="4">
        <v>0</v>
      </c>
      <c r="O15" s="4">
        <v>10231274138.450001</v>
      </c>
      <c r="P15" s="4">
        <v>9677239657.1900005</v>
      </c>
      <c r="Q15" s="5">
        <v>45595</v>
      </c>
      <c r="R15" s="5">
        <v>44321</v>
      </c>
      <c r="S15" s="5">
        <v>44187</v>
      </c>
      <c r="T15" s="5"/>
      <c r="U15" s="4">
        <v>56.9</v>
      </c>
      <c r="V15" s="4">
        <v>94.98</v>
      </c>
      <c r="W15" s="3"/>
      <c r="X15" s="3"/>
      <c r="Y15" s="5">
        <v>44183</v>
      </c>
      <c r="Z15" s="5">
        <v>44363</v>
      </c>
      <c r="AA15" s="5">
        <v>44463</v>
      </c>
      <c r="AB15" s="5">
        <v>44545</v>
      </c>
      <c r="AC15" s="3"/>
      <c r="AD15" s="6"/>
      <c r="AE15" s="5">
        <v>46096</v>
      </c>
      <c r="AF15" s="3"/>
      <c r="AG15" s="3"/>
      <c r="AH15" s="3"/>
      <c r="AI15" s="3"/>
      <c r="AJ15" s="3"/>
      <c r="AK15" s="3"/>
      <c r="AL15" s="3">
        <f t="shared" si="0"/>
        <v>0</v>
      </c>
      <c r="AM15" s="3">
        <f t="shared" si="1"/>
        <v>0</v>
      </c>
      <c r="AN15" s="3">
        <f t="shared" si="2"/>
        <v>0</v>
      </c>
      <c r="AO15" s="3">
        <f t="shared" si="3"/>
        <v>0</v>
      </c>
      <c r="AP15" s="3"/>
      <c r="AQ15" s="3"/>
      <c r="AR15" s="3" t="str">
        <f t="shared" si="4"/>
        <v/>
      </c>
      <c r="AS15" s="3"/>
      <c r="AT15" s="3">
        <f t="shared" si="5"/>
        <v>100</v>
      </c>
      <c r="AU15" s="3" t="str">
        <f t="shared" si="6"/>
        <v/>
      </c>
      <c r="AV15" s="3"/>
    </row>
    <row r="16" spans="1:48" ht="69.900000000000006" customHeight="1" x14ac:dyDescent="0.3">
      <c r="A16" s="3" t="s">
        <v>100</v>
      </c>
      <c r="B16" s="3" t="s">
        <v>65</v>
      </c>
      <c r="C16" s="3" t="s">
        <v>101</v>
      </c>
      <c r="D16" s="3"/>
      <c r="E16" s="3" t="s">
        <v>91</v>
      </c>
      <c r="F16" s="3"/>
      <c r="G16" s="3" t="s">
        <v>67</v>
      </c>
      <c r="H16" s="3" t="s">
        <v>61</v>
      </c>
      <c r="I16" s="3" t="s">
        <v>102</v>
      </c>
      <c r="J16" s="3" t="s">
        <v>76</v>
      </c>
      <c r="K16" s="4">
        <v>1582195518</v>
      </c>
      <c r="L16" s="4">
        <v>0</v>
      </c>
      <c r="M16" s="4">
        <v>0</v>
      </c>
      <c r="N16" s="4">
        <v>0</v>
      </c>
      <c r="O16" s="4">
        <v>1582195518</v>
      </c>
      <c r="P16" s="4">
        <v>1581551844.8</v>
      </c>
      <c r="Q16" s="5">
        <v>45358</v>
      </c>
      <c r="R16" s="5">
        <v>44737</v>
      </c>
      <c r="S16" s="5">
        <v>44729</v>
      </c>
      <c r="T16" s="5"/>
      <c r="U16" s="4">
        <v>96.75</v>
      </c>
      <c r="V16" s="4">
        <v>99.96</v>
      </c>
      <c r="W16" s="3"/>
      <c r="X16" s="3"/>
      <c r="Y16" s="5">
        <v>44728</v>
      </c>
      <c r="Z16" s="5">
        <v>44854</v>
      </c>
      <c r="AA16" s="5">
        <v>44902</v>
      </c>
      <c r="AB16" s="5">
        <v>44980</v>
      </c>
      <c r="AC16" s="3"/>
      <c r="AD16" s="6"/>
      <c r="AE16" s="5">
        <v>46096</v>
      </c>
      <c r="AF16" s="3"/>
      <c r="AG16" s="3"/>
      <c r="AH16" s="3"/>
      <c r="AI16" s="3"/>
      <c r="AJ16" s="3"/>
      <c r="AK16" s="3"/>
      <c r="AL16" s="3" t="str">
        <f t="shared" si="0"/>
        <v/>
      </c>
      <c r="AM16" s="3" t="str">
        <f t="shared" si="1"/>
        <v/>
      </c>
      <c r="AN16" s="3">
        <f t="shared" si="2"/>
        <v>100</v>
      </c>
      <c r="AO16" s="3">
        <f t="shared" si="3"/>
        <v>100</v>
      </c>
      <c r="AP16" s="3"/>
      <c r="AQ16" s="3"/>
      <c r="AR16" s="3" t="str">
        <f t="shared" si="4"/>
        <v/>
      </c>
      <c r="AS16" s="3"/>
      <c r="AT16" s="3">
        <f t="shared" si="5"/>
        <v>100</v>
      </c>
      <c r="AU16" s="3" t="str">
        <f t="shared" si="6"/>
        <v/>
      </c>
      <c r="AV16" s="3"/>
    </row>
    <row r="17" spans="1:48" ht="69.900000000000006" customHeight="1" x14ac:dyDescent="0.3">
      <c r="A17" s="3" t="s">
        <v>103</v>
      </c>
      <c r="B17" s="3" t="s">
        <v>72</v>
      </c>
      <c r="C17" s="3" t="s">
        <v>104</v>
      </c>
      <c r="D17" s="3"/>
      <c r="E17" s="3" t="s">
        <v>74</v>
      </c>
      <c r="F17" s="3"/>
      <c r="G17" s="3" t="s">
        <v>54</v>
      </c>
      <c r="H17" s="3" t="s">
        <v>70</v>
      </c>
      <c r="I17" s="3" t="s">
        <v>75</v>
      </c>
      <c r="J17" s="3" t="s">
        <v>105</v>
      </c>
      <c r="K17" s="4">
        <v>16839824924.799999</v>
      </c>
      <c r="L17" s="4">
        <v>0</v>
      </c>
      <c r="M17" s="4">
        <v>0</v>
      </c>
      <c r="N17" s="4">
        <v>0</v>
      </c>
      <c r="O17" s="4">
        <v>16839824924.799999</v>
      </c>
      <c r="P17" s="4">
        <v>15153097577.860001</v>
      </c>
      <c r="Q17" s="5">
        <v>46020</v>
      </c>
      <c r="R17" s="5">
        <v>45084</v>
      </c>
      <c r="S17" s="5">
        <v>45066</v>
      </c>
      <c r="T17" s="5">
        <v>45100</v>
      </c>
      <c r="U17" s="4">
        <v>94.16</v>
      </c>
      <c r="V17" s="4">
        <v>89.98</v>
      </c>
      <c r="W17" s="3"/>
      <c r="X17" s="3"/>
      <c r="Y17" s="5">
        <v>45064</v>
      </c>
      <c r="Z17" s="5">
        <v>45212</v>
      </c>
      <c r="AA17" s="5">
        <v>45450</v>
      </c>
      <c r="AB17" s="5">
        <v>45469</v>
      </c>
      <c r="AC17" s="3"/>
      <c r="AD17" s="6"/>
      <c r="AE17" s="5">
        <v>46096</v>
      </c>
      <c r="AF17" s="3"/>
      <c r="AG17" s="3"/>
      <c r="AH17" s="3"/>
      <c r="AI17" s="3"/>
      <c r="AJ17" s="3"/>
      <c r="AK17" s="3"/>
      <c r="AL17" s="3">
        <f t="shared" si="0"/>
        <v>0</v>
      </c>
      <c r="AM17" s="3">
        <f t="shared" si="1"/>
        <v>0</v>
      </c>
      <c r="AN17" s="3">
        <f t="shared" si="2"/>
        <v>100</v>
      </c>
      <c r="AO17" s="3">
        <f t="shared" si="3"/>
        <v>100</v>
      </c>
      <c r="AP17" s="3"/>
      <c r="AQ17" s="3"/>
      <c r="AR17" s="3" t="str">
        <f t="shared" si="4"/>
        <v/>
      </c>
      <c r="AS17" s="3"/>
      <c r="AT17" s="3">
        <f t="shared" si="5"/>
        <v>100</v>
      </c>
      <c r="AU17" s="3" t="str">
        <f t="shared" si="6"/>
        <v/>
      </c>
      <c r="AV17" s="3"/>
    </row>
    <row r="18" spans="1:48" ht="69.900000000000006" customHeight="1" x14ac:dyDescent="0.3">
      <c r="A18" s="3" t="s">
        <v>106</v>
      </c>
      <c r="B18" s="3" t="s">
        <v>65</v>
      </c>
      <c r="C18" s="3" t="s">
        <v>107</v>
      </c>
      <c r="D18" s="3"/>
      <c r="E18" s="3" t="s">
        <v>60</v>
      </c>
      <c r="F18" s="3"/>
      <c r="G18" s="3" t="s">
        <v>54</v>
      </c>
      <c r="H18" s="3" t="s">
        <v>70</v>
      </c>
      <c r="I18" s="3" t="s">
        <v>62</v>
      </c>
      <c r="J18" s="3" t="s">
        <v>108</v>
      </c>
      <c r="K18" s="4">
        <v>3342400000</v>
      </c>
      <c r="L18" s="4">
        <v>0</v>
      </c>
      <c r="M18" s="4">
        <v>30000000</v>
      </c>
      <c r="N18" s="4">
        <v>0</v>
      </c>
      <c r="O18" s="4">
        <v>3372400000</v>
      </c>
      <c r="P18" s="4">
        <v>2920656161.9299998</v>
      </c>
      <c r="Q18" s="5">
        <v>45777</v>
      </c>
      <c r="R18" s="5">
        <v>44569</v>
      </c>
      <c r="S18" s="5">
        <v>44556</v>
      </c>
      <c r="T18" s="5"/>
      <c r="U18" s="4">
        <v>100</v>
      </c>
      <c r="V18" s="4">
        <v>87.49</v>
      </c>
      <c r="W18" s="3"/>
      <c r="X18" s="3"/>
      <c r="Y18" s="5">
        <v>44552</v>
      </c>
      <c r="Z18" s="5">
        <v>44825</v>
      </c>
      <c r="AA18" s="5">
        <v>44833</v>
      </c>
      <c r="AB18" s="5">
        <v>44925</v>
      </c>
      <c r="AC18" s="3"/>
      <c r="AD18" s="6"/>
      <c r="AE18" s="5">
        <v>46096</v>
      </c>
      <c r="AF18" s="3"/>
      <c r="AG18" s="3"/>
      <c r="AH18" s="3"/>
      <c r="AI18" s="3"/>
      <c r="AJ18" s="3"/>
      <c r="AK18" s="3"/>
      <c r="AL18" s="3">
        <f t="shared" si="0"/>
        <v>0</v>
      </c>
      <c r="AM18" s="3">
        <f t="shared" si="1"/>
        <v>0</v>
      </c>
      <c r="AN18" s="3">
        <f t="shared" si="2"/>
        <v>100</v>
      </c>
      <c r="AO18" s="3">
        <f t="shared" si="3"/>
        <v>100</v>
      </c>
      <c r="AP18" s="3"/>
      <c r="AQ18" s="3"/>
      <c r="AR18" s="3" t="str">
        <f t="shared" si="4"/>
        <v/>
      </c>
      <c r="AS18" s="3"/>
      <c r="AT18" s="3">
        <f t="shared" si="5"/>
        <v>100</v>
      </c>
      <c r="AU18" s="3" t="str">
        <f t="shared" si="6"/>
        <v/>
      </c>
      <c r="AV18" s="3"/>
    </row>
    <row r="19" spans="1:48" ht="69.900000000000006" customHeight="1" x14ac:dyDescent="0.3">
      <c r="A19" s="3" t="s">
        <v>109</v>
      </c>
      <c r="B19" s="3" t="s">
        <v>65</v>
      </c>
      <c r="C19" s="3" t="s">
        <v>110</v>
      </c>
      <c r="D19" s="3"/>
      <c r="E19" s="3" t="s">
        <v>60</v>
      </c>
      <c r="F19" s="3"/>
      <c r="G19" s="3" t="s">
        <v>54</v>
      </c>
      <c r="H19" s="3" t="s">
        <v>70</v>
      </c>
      <c r="I19" s="3" t="s">
        <v>62</v>
      </c>
      <c r="J19" s="3" t="s">
        <v>108</v>
      </c>
      <c r="K19" s="4">
        <v>990000000</v>
      </c>
      <c r="L19" s="4">
        <v>0</v>
      </c>
      <c r="M19" s="4">
        <v>30000000</v>
      </c>
      <c r="N19" s="4">
        <v>0</v>
      </c>
      <c r="O19" s="4">
        <v>1020000000</v>
      </c>
      <c r="P19" s="4">
        <v>910522475.99000001</v>
      </c>
      <c r="Q19" s="5">
        <v>45653</v>
      </c>
      <c r="R19" s="5">
        <v>44569</v>
      </c>
      <c r="S19" s="5">
        <v>44556</v>
      </c>
      <c r="T19" s="5"/>
      <c r="U19" s="4">
        <v>100</v>
      </c>
      <c r="V19" s="4">
        <v>92.21</v>
      </c>
      <c r="W19" s="3"/>
      <c r="X19" s="3"/>
      <c r="Y19" s="5">
        <v>44552</v>
      </c>
      <c r="Z19" s="5">
        <v>44775</v>
      </c>
      <c r="AA19" s="5">
        <v>44833</v>
      </c>
      <c r="AB19" s="5">
        <v>44925</v>
      </c>
      <c r="AC19" s="3"/>
      <c r="AD19" s="6"/>
      <c r="AE19" s="5">
        <v>46096</v>
      </c>
      <c r="AF19" s="3"/>
      <c r="AG19" s="3"/>
      <c r="AH19" s="3"/>
      <c r="AI19" s="3"/>
      <c r="AJ19" s="3"/>
      <c r="AK19" s="3"/>
      <c r="AL19" s="3">
        <f t="shared" si="0"/>
        <v>0</v>
      </c>
      <c r="AM19" s="3">
        <f t="shared" si="1"/>
        <v>0</v>
      </c>
      <c r="AN19" s="3">
        <f t="shared" si="2"/>
        <v>100</v>
      </c>
      <c r="AO19" s="3">
        <f t="shared" si="3"/>
        <v>100</v>
      </c>
      <c r="AP19" s="3"/>
      <c r="AQ19" s="3"/>
      <c r="AR19" s="3" t="str">
        <f t="shared" si="4"/>
        <v/>
      </c>
      <c r="AS19" s="3"/>
      <c r="AT19" s="3">
        <f t="shared" si="5"/>
        <v>100</v>
      </c>
      <c r="AU19" s="3" t="str">
        <f t="shared" si="6"/>
        <v/>
      </c>
      <c r="AV19" s="3"/>
    </row>
    <row r="20" spans="1:48" ht="69.900000000000006" customHeight="1" x14ac:dyDescent="0.3">
      <c r="A20" s="3" t="s">
        <v>111</v>
      </c>
      <c r="B20" s="3" t="s">
        <v>65</v>
      </c>
      <c r="C20" s="3" t="s">
        <v>112</v>
      </c>
      <c r="D20" s="3"/>
      <c r="E20" s="3" t="s">
        <v>60</v>
      </c>
      <c r="F20" s="3"/>
      <c r="G20" s="3" t="s">
        <v>67</v>
      </c>
      <c r="H20" s="3" t="s">
        <v>61</v>
      </c>
      <c r="I20" s="3" t="s">
        <v>62</v>
      </c>
      <c r="J20" s="3" t="s">
        <v>108</v>
      </c>
      <c r="K20" s="4">
        <v>1000000000</v>
      </c>
      <c r="L20" s="4">
        <v>0</v>
      </c>
      <c r="M20" s="4">
        <v>30200000</v>
      </c>
      <c r="N20" s="4">
        <v>0</v>
      </c>
      <c r="O20" s="4">
        <v>1030200000</v>
      </c>
      <c r="P20" s="4">
        <v>1000000000</v>
      </c>
      <c r="Q20" s="5">
        <v>45797</v>
      </c>
      <c r="R20" s="5">
        <v>44569</v>
      </c>
      <c r="S20" s="5">
        <v>44556</v>
      </c>
      <c r="T20" s="5"/>
      <c r="U20" s="4">
        <v>100</v>
      </c>
      <c r="V20" s="4">
        <v>100</v>
      </c>
      <c r="W20" s="3"/>
      <c r="X20" s="3"/>
      <c r="Y20" s="5">
        <v>44552</v>
      </c>
      <c r="Z20" s="5">
        <v>44819</v>
      </c>
      <c r="AA20" s="5">
        <v>44833</v>
      </c>
      <c r="AB20" s="5">
        <v>44925</v>
      </c>
      <c r="AC20" s="3"/>
      <c r="AD20" s="6"/>
      <c r="AE20" s="5">
        <v>46096</v>
      </c>
      <c r="AF20" s="3"/>
      <c r="AG20" s="3"/>
      <c r="AH20" s="3"/>
      <c r="AI20" s="3"/>
      <c r="AJ20" s="3"/>
      <c r="AK20" s="3"/>
      <c r="AL20" s="3" t="str">
        <f t="shared" si="0"/>
        <v/>
      </c>
      <c r="AM20" s="3" t="str">
        <f t="shared" si="1"/>
        <v/>
      </c>
      <c r="AN20" s="3">
        <f t="shared" si="2"/>
        <v>100</v>
      </c>
      <c r="AO20" s="3" t="str">
        <f t="shared" si="3"/>
        <v/>
      </c>
      <c r="AP20" s="3"/>
      <c r="AQ20" s="3"/>
      <c r="AR20" s="3" t="str">
        <f t="shared" si="4"/>
        <v/>
      </c>
      <c r="AS20" s="3"/>
      <c r="AT20" s="3">
        <f t="shared" si="5"/>
        <v>100</v>
      </c>
      <c r="AU20" s="3" t="str">
        <f t="shared" si="6"/>
        <v/>
      </c>
      <c r="AV20" s="3"/>
    </row>
    <row r="21" spans="1:48" ht="69.900000000000006" customHeight="1" x14ac:dyDescent="0.3">
      <c r="A21" s="3" t="s">
        <v>113</v>
      </c>
      <c r="B21" s="3" t="s">
        <v>65</v>
      </c>
      <c r="C21" s="3" t="s">
        <v>114</v>
      </c>
      <c r="D21" s="3"/>
      <c r="E21" s="3" t="s">
        <v>60</v>
      </c>
      <c r="F21" s="3"/>
      <c r="G21" s="3" t="s">
        <v>54</v>
      </c>
      <c r="H21" s="3" t="s">
        <v>115</v>
      </c>
      <c r="I21" s="3" t="s">
        <v>62</v>
      </c>
      <c r="J21" s="3" t="s">
        <v>116</v>
      </c>
      <c r="K21" s="4">
        <v>4300000000</v>
      </c>
      <c r="L21" s="4">
        <v>0</v>
      </c>
      <c r="M21" s="4">
        <v>48000000</v>
      </c>
      <c r="N21" s="4">
        <v>0</v>
      </c>
      <c r="O21" s="4">
        <v>4348000000</v>
      </c>
      <c r="P21" s="4">
        <v>3523293028</v>
      </c>
      <c r="Q21" s="5">
        <v>45989</v>
      </c>
      <c r="R21" s="5">
        <v>44758</v>
      </c>
      <c r="S21" s="5">
        <v>44687</v>
      </c>
      <c r="T21" s="5"/>
      <c r="U21" s="4">
        <v>68.13</v>
      </c>
      <c r="V21" s="4">
        <v>82.09</v>
      </c>
      <c r="W21" s="3"/>
      <c r="X21" s="3"/>
      <c r="Y21" s="5">
        <v>44685</v>
      </c>
      <c r="Z21" s="5">
        <v>44867</v>
      </c>
      <c r="AA21" s="5">
        <v>44917</v>
      </c>
      <c r="AB21" s="5">
        <v>44998</v>
      </c>
      <c r="AC21" s="3"/>
      <c r="AD21" s="6"/>
      <c r="AE21" s="5">
        <v>46096</v>
      </c>
      <c r="AF21" s="3"/>
      <c r="AG21" s="3"/>
      <c r="AH21" s="3"/>
      <c r="AI21" s="3"/>
      <c r="AJ21" s="3"/>
      <c r="AK21" s="3"/>
      <c r="AL21" s="3">
        <f t="shared" si="0"/>
        <v>0</v>
      </c>
      <c r="AM21" s="3">
        <f t="shared" si="1"/>
        <v>0</v>
      </c>
      <c r="AN21" s="3">
        <f t="shared" si="2"/>
        <v>100</v>
      </c>
      <c r="AO21" s="3">
        <f t="shared" si="3"/>
        <v>100</v>
      </c>
      <c r="AP21" s="3"/>
      <c r="AQ21" s="3"/>
      <c r="AR21" s="3" t="str">
        <f t="shared" si="4"/>
        <v/>
      </c>
      <c r="AS21" s="3"/>
      <c r="AT21" s="3">
        <f t="shared" si="5"/>
        <v>100</v>
      </c>
      <c r="AU21" s="3" t="str">
        <f t="shared" si="6"/>
        <v/>
      </c>
      <c r="AV21" s="3"/>
    </row>
    <row r="22" spans="1:48" ht="69.900000000000006" customHeight="1" x14ac:dyDescent="0.3">
      <c r="A22" s="3" t="s">
        <v>117</v>
      </c>
      <c r="B22" s="3" t="s">
        <v>72</v>
      </c>
      <c r="C22" s="3" t="s">
        <v>118</v>
      </c>
      <c r="D22" s="3"/>
      <c r="E22" s="3" t="s">
        <v>119</v>
      </c>
      <c r="F22" s="3"/>
      <c r="G22" s="3" t="s">
        <v>54</v>
      </c>
      <c r="H22" s="3" t="s">
        <v>70</v>
      </c>
      <c r="I22" s="3" t="s">
        <v>75</v>
      </c>
      <c r="J22" s="3" t="s">
        <v>105</v>
      </c>
      <c r="K22" s="4">
        <v>24245749081.080002</v>
      </c>
      <c r="L22" s="4">
        <v>0</v>
      </c>
      <c r="M22" s="4">
        <v>0</v>
      </c>
      <c r="N22" s="4">
        <v>0</v>
      </c>
      <c r="O22" s="4">
        <v>24245749081.080002</v>
      </c>
      <c r="P22" s="4">
        <v>17972770186.490002</v>
      </c>
      <c r="Q22" s="5">
        <v>46057</v>
      </c>
      <c r="R22" s="5">
        <v>45084</v>
      </c>
      <c r="S22" s="5">
        <v>45066</v>
      </c>
      <c r="T22" s="5"/>
      <c r="U22" s="4">
        <v>43.12</v>
      </c>
      <c r="V22" s="4">
        <v>74.13</v>
      </c>
      <c r="W22" s="3"/>
      <c r="X22" s="3"/>
      <c r="Y22" s="5">
        <v>45064</v>
      </c>
      <c r="Z22" s="5">
        <v>45546</v>
      </c>
      <c r="AA22" s="5">
        <v>45649</v>
      </c>
      <c r="AB22" s="5">
        <v>45714</v>
      </c>
      <c r="AC22" s="3"/>
      <c r="AD22" s="6"/>
      <c r="AE22" s="5">
        <v>46096</v>
      </c>
      <c r="AF22" s="3"/>
      <c r="AG22" s="3"/>
      <c r="AH22" s="3"/>
      <c r="AI22" s="3"/>
      <c r="AJ22" s="3"/>
      <c r="AK22" s="3"/>
      <c r="AL22" s="3">
        <f t="shared" si="0"/>
        <v>0</v>
      </c>
      <c r="AM22" s="3">
        <f t="shared" si="1"/>
        <v>0</v>
      </c>
      <c r="AN22" s="3">
        <f t="shared" si="2"/>
        <v>0</v>
      </c>
      <c r="AO22" s="3">
        <f t="shared" si="3"/>
        <v>0</v>
      </c>
      <c r="AP22" s="3"/>
      <c r="AQ22" s="3"/>
      <c r="AR22" s="3" t="str">
        <f t="shared" si="4"/>
        <v/>
      </c>
      <c r="AS22" s="3"/>
      <c r="AT22" s="3">
        <f t="shared" si="5"/>
        <v>100</v>
      </c>
      <c r="AU22" s="3" t="str">
        <f t="shared" si="6"/>
        <v/>
      </c>
      <c r="AV22" s="3"/>
    </row>
    <row r="23" spans="1:48" ht="69.900000000000006" customHeight="1" x14ac:dyDescent="0.3">
      <c r="A23" s="3" t="s">
        <v>120</v>
      </c>
      <c r="B23" s="3" t="s">
        <v>72</v>
      </c>
      <c r="C23" s="3" t="s">
        <v>121</v>
      </c>
      <c r="D23" s="3"/>
      <c r="E23" s="3" t="s">
        <v>74</v>
      </c>
      <c r="F23" s="3"/>
      <c r="G23" s="3" t="s">
        <v>122</v>
      </c>
      <c r="H23" s="3" t="s">
        <v>55</v>
      </c>
      <c r="I23" s="3" t="s">
        <v>75</v>
      </c>
      <c r="J23" s="3" t="s">
        <v>76</v>
      </c>
      <c r="K23" s="4">
        <v>1498986578.77</v>
      </c>
      <c r="L23" s="4">
        <v>0</v>
      </c>
      <c r="M23" s="4">
        <v>0</v>
      </c>
      <c r="N23" s="4">
        <v>0</v>
      </c>
      <c r="O23" s="4">
        <v>1498986578.77</v>
      </c>
      <c r="P23" s="4">
        <v>1471824308.05</v>
      </c>
      <c r="Q23" s="5">
        <v>45750</v>
      </c>
      <c r="R23" s="5">
        <v>44510</v>
      </c>
      <c r="S23" s="5">
        <v>44509</v>
      </c>
      <c r="T23" s="5"/>
      <c r="U23" s="4">
        <v>98.19</v>
      </c>
      <c r="V23" s="4">
        <v>98.19</v>
      </c>
      <c r="W23" s="3"/>
      <c r="X23" s="3"/>
      <c r="Y23" s="5">
        <v>44508</v>
      </c>
      <c r="Z23" s="5">
        <v>44581</v>
      </c>
      <c r="AA23" s="5">
        <v>44817</v>
      </c>
      <c r="AB23" s="5">
        <v>44869</v>
      </c>
      <c r="AC23" s="3"/>
      <c r="AD23" s="6"/>
      <c r="AE23" s="5">
        <v>46096</v>
      </c>
      <c r="AF23" s="3"/>
      <c r="AG23" s="3"/>
      <c r="AH23" s="3"/>
      <c r="AI23" s="3"/>
      <c r="AJ23" s="3"/>
      <c r="AK23" s="3"/>
      <c r="AL23" s="3" t="str">
        <f t="shared" si="0"/>
        <v/>
      </c>
      <c r="AM23" s="3" t="str">
        <f t="shared" si="1"/>
        <v/>
      </c>
      <c r="AN23" s="3">
        <f t="shared" si="2"/>
        <v>100</v>
      </c>
      <c r="AO23" s="3" t="str">
        <f t="shared" si="3"/>
        <v/>
      </c>
      <c r="AP23" s="3"/>
      <c r="AQ23" s="3"/>
      <c r="AR23" s="3" t="str">
        <f t="shared" si="4"/>
        <v/>
      </c>
      <c r="AS23" s="3"/>
      <c r="AT23" s="3">
        <f t="shared" si="5"/>
        <v>100</v>
      </c>
      <c r="AU23" s="3" t="str">
        <f t="shared" si="6"/>
        <v/>
      </c>
      <c r="AV23" s="3"/>
    </row>
    <row r="24" spans="1:48" ht="69.900000000000006" customHeight="1" x14ac:dyDescent="0.3">
      <c r="A24" s="3" t="s">
        <v>123</v>
      </c>
      <c r="B24" s="3" t="s">
        <v>72</v>
      </c>
      <c r="C24" s="3" t="s">
        <v>124</v>
      </c>
      <c r="D24" s="3"/>
      <c r="E24" s="3" t="s">
        <v>125</v>
      </c>
      <c r="F24" s="3"/>
      <c r="G24" s="3" t="s">
        <v>67</v>
      </c>
      <c r="H24" s="3" t="s">
        <v>55</v>
      </c>
      <c r="I24" s="3" t="s">
        <v>126</v>
      </c>
      <c r="J24" s="3"/>
      <c r="K24" s="4">
        <v>621744000</v>
      </c>
      <c r="L24" s="4">
        <v>550511999.39999998</v>
      </c>
      <c r="M24" s="4">
        <v>0</v>
      </c>
      <c r="N24" s="4">
        <v>0</v>
      </c>
      <c r="O24" s="4">
        <v>1172255999.4000001</v>
      </c>
      <c r="P24" s="4">
        <v>621744000</v>
      </c>
      <c r="Q24" s="5">
        <v>44495</v>
      </c>
      <c r="R24" s="5">
        <v>44391</v>
      </c>
      <c r="S24" s="5">
        <v>44390</v>
      </c>
      <c r="T24" s="5"/>
      <c r="U24" s="4">
        <v>100</v>
      </c>
      <c r="V24" s="4">
        <v>91.71</v>
      </c>
      <c r="W24" s="3"/>
      <c r="X24" s="3"/>
      <c r="Y24" s="5">
        <v>44389</v>
      </c>
      <c r="Z24" s="5">
        <v>44399</v>
      </c>
      <c r="AA24" s="5">
        <v>44475</v>
      </c>
      <c r="AB24" s="5">
        <v>44495</v>
      </c>
      <c r="AC24" s="3"/>
      <c r="AD24" s="6"/>
      <c r="AE24" s="5">
        <v>46096</v>
      </c>
      <c r="AF24" s="3"/>
      <c r="AG24" s="3"/>
      <c r="AH24" s="3"/>
      <c r="AI24" s="3"/>
      <c r="AJ24" s="3"/>
      <c r="AK24" s="3"/>
      <c r="AL24" s="3" t="str">
        <f t="shared" si="0"/>
        <v/>
      </c>
      <c r="AM24" s="3" t="str">
        <f t="shared" si="1"/>
        <v/>
      </c>
      <c r="AN24" s="3">
        <f t="shared" si="2"/>
        <v>100</v>
      </c>
      <c r="AO24" s="3" t="str">
        <f t="shared" si="3"/>
        <v/>
      </c>
      <c r="AP24" s="3"/>
      <c r="AQ24" s="3"/>
      <c r="AR24" s="3" t="str">
        <f t="shared" si="4"/>
        <v/>
      </c>
      <c r="AS24" s="3"/>
      <c r="AT24" s="3">
        <f t="shared" si="5"/>
        <v>100</v>
      </c>
      <c r="AU24" s="3" t="str">
        <f t="shared" si="6"/>
        <v/>
      </c>
      <c r="AV24" s="3"/>
    </row>
    <row r="25" spans="1:48" ht="69.900000000000006" customHeight="1" x14ac:dyDescent="0.3">
      <c r="A25" s="3" t="s">
        <v>127</v>
      </c>
      <c r="B25" s="3" t="s">
        <v>65</v>
      </c>
      <c r="C25" s="3" t="s">
        <v>128</v>
      </c>
      <c r="D25" s="3"/>
      <c r="E25" s="3" t="s">
        <v>129</v>
      </c>
      <c r="F25" s="3"/>
      <c r="G25" s="3" t="s">
        <v>122</v>
      </c>
      <c r="H25" s="3" t="s">
        <v>55</v>
      </c>
      <c r="I25" s="3" t="s">
        <v>102</v>
      </c>
      <c r="J25" s="3" t="s">
        <v>76</v>
      </c>
      <c r="K25" s="4">
        <v>899027939.82000005</v>
      </c>
      <c r="L25" s="4">
        <v>0</v>
      </c>
      <c r="M25" s="4">
        <v>0</v>
      </c>
      <c r="N25" s="4">
        <v>0</v>
      </c>
      <c r="O25" s="4">
        <v>899027939.82000005</v>
      </c>
      <c r="P25" s="4">
        <v>895167939.80999994</v>
      </c>
      <c r="Q25" s="5">
        <v>45188</v>
      </c>
      <c r="R25" s="5">
        <v>44456</v>
      </c>
      <c r="S25" s="5">
        <v>44457</v>
      </c>
      <c r="T25" s="5"/>
      <c r="U25" s="4">
        <v>99.57</v>
      </c>
      <c r="V25" s="4">
        <v>99.57</v>
      </c>
      <c r="W25" s="3"/>
      <c r="X25" s="3"/>
      <c r="Y25" s="5">
        <v>44456</v>
      </c>
      <c r="Z25" s="5">
        <v>44617</v>
      </c>
      <c r="AA25" s="5">
        <v>44687</v>
      </c>
      <c r="AB25" s="5">
        <v>44698</v>
      </c>
      <c r="AC25" s="3"/>
      <c r="AD25" s="6"/>
      <c r="AE25" s="5">
        <v>46096</v>
      </c>
      <c r="AF25" s="3"/>
      <c r="AG25" s="3"/>
      <c r="AH25" s="3"/>
      <c r="AI25" s="3"/>
      <c r="AJ25" s="3"/>
      <c r="AK25" s="3"/>
      <c r="AL25" s="3" t="str">
        <f t="shared" si="0"/>
        <v/>
      </c>
      <c r="AM25" s="3" t="str">
        <f t="shared" si="1"/>
        <v/>
      </c>
      <c r="AN25" s="3">
        <f t="shared" si="2"/>
        <v>100</v>
      </c>
      <c r="AO25" s="3" t="str">
        <f t="shared" si="3"/>
        <v/>
      </c>
      <c r="AP25" s="3"/>
      <c r="AQ25" s="3"/>
      <c r="AR25" s="3" t="str">
        <f t="shared" si="4"/>
        <v/>
      </c>
      <c r="AS25" s="3"/>
      <c r="AT25" s="3">
        <f t="shared" si="5"/>
        <v>100</v>
      </c>
      <c r="AU25" s="3" t="str">
        <f t="shared" si="6"/>
        <v/>
      </c>
      <c r="AV25" s="3"/>
    </row>
    <row r="26" spans="1:48" ht="69.900000000000006" customHeight="1" x14ac:dyDescent="0.3">
      <c r="A26" s="3" t="s">
        <v>130</v>
      </c>
      <c r="B26" s="3" t="s">
        <v>72</v>
      </c>
      <c r="C26" s="3" t="s">
        <v>131</v>
      </c>
      <c r="D26" s="3"/>
      <c r="E26" s="3" t="s">
        <v>129</v>
      </c>
      <c r="F26" s="3"/>
      <c r="G26" s="3" t="s">
        <v>54</v>
      </c>
      <c r="H26" s="3" t="s">
        <v>70</v>
      </c>
      <c r="I26" s="3" t="s">
        <v>75</v>
      </c>
      <c r="J26" s="3" t="s">
        <v>76</v>
      </c>
      <c r="K26" s="4">
        <v>8561481683</v>
      </c>
      <c r="L26" s="4">
        <v>7999399317</v>
      </c>
      <c r="M26" s="4">
        <v>0</v>
      </c>
      <c r="N26" s="4">
        <v>0</v>
      </c>
      <c r="O26" s="4">
        <v>16560881000</v>
      </c>
      <c r="P26" s="4">
        <v>7774977527.5600004</v>
      </c>
      <c r="Q26" s="5">
        <v>45847</v>
      </c>
      <c r="R26" s="5">
        <v>45104</v>
      </c>
      <c r="S26" s="5">
        <v>45100</v>
      </c>
      <c r="T26" s="5">
        <v>45100</v>
      </c>
      <c r="U26" s="4">
        <v>74.260000000000005</v>
      </c>
      <c r="V26" s="4">
        <v>46.95</v>
      </c>
      <c r="W26" s="3"/>
      <c r="X26" s="3"/>
      <c r="Y26" s="5">
        <v>45100</v>
      </c>
      <c r="Z26" s="5">
        <v>45252</v>
      </c>
      <c r="AA26" s="5">
        <v>45433</v>
      </c>
      <c r="AB26" s="5">
        <v>45509</v>
      </c>
      <c r="AC26" s="3"/>
      <c r="AD26" s="6"/>
      <c r="AE26" s="5">
        <v>46096</v>
      </c>
      <c r="AF26" s="3"/>
      <c r="AG26" s="3"/>
      <c r="AH26" s="3"/>
      <c r="AI26" s="3"/>
      <c r="AJ26" s="3"/>
      <c r="AK26" s="3"/>
      <c r="AL26" s="3">
        <f t="shared" si="0"/>
        <v>0</v>
      </c>
      <c r="AM26" s="3">
        <f t="shared" si="1"/>
        <v>0</v>
      </c>
      <c r="AN26" s="3">
        <f t="shared" si="2"/>
        <v>100</v>
      </c>
      <c r="AO26" s="3">
        <f t="shared" si="3"/>
        <v>100</v>
      </c>
      <c r="AP26" s="3"/>
      <c r="AQ26" s="3"/>
      <c r="AR26" s="3" t="str">
        <f t="shared" si="4"/>
        <v/>
      </c>
      <c r="AS26" s="3"/>
      <c r="AT26" s="3">
        <f t="shared" si="5"/>
        <v>100</v>
      </c>
      <c r="AU26" s="3" t="str">
        <f t="shared" si="6"/>
        <v/>
      </c>
      <c r="AV26" s="3"/>
    </row>
    <row r="27" spans="1:48" ht="69.900000000000006" customHeight="1" x14ac:dyDescent="0.3">
      <c r="A27" s="3" t="s">
        <v>132</v>
      </c>
      <c r="B27" s="3" t="s">
        <v>133</v>
      </c>
      <c r="C27" s="3" t="s">
        <v>134</v>
      </c>
      <c r="D27" s="3"/>
      <c r="E27" s="3" t="s">
        <v>135</v>
      </c>
      <c r="F27" s="3"/>
      <c r="G27" s="3" t="s">
        <v>67</v>
      </c>
      <c r="H27" s="3" t="s">
        <v>61</v>
      </c>
      <c r="I27" s="3" t="s">
        <v>92</v>
      </c>
      <c r="J27" s="3" t="s">
        <v>105</v>
      </c>
      <c r="K27" s="4">
        <v>13470040052.48</v>
      </c>
      <c r="L27" s="4">
        <v>0</v>
      </c>
      <c r="M27" s="4">
        <v>0</v>
      </c>
      <c r="N27" s="4">
        <v>0</v>
      </c>
      <c r="O27" s="4">
        <v>13470040052.48</v>
      </c>
      <c r="P27" s="4">
        <v>13464961639.190001</v>
      </c>
      <c r="Q27" s="5">
        <v>45573</v>
      </c>
      <c r="R27" s="5">
        <v>44856</v>
      </c>
      <c r="S27" s="5">
        <v>44845</v>
      </c>
      <c r="T27" s="5"/>
      <c r="U27" s="4">
        <v>100</v>
      </c>
      <c r="V27" s="4">
        <v>99.96</v>
      </c>
      <c r="W27" s="3"/>
      <c r="X27" s="3"/>
      <c r="Y27" s="5">
        <v>44844</v>
      </c>
      <c r="Z27" s="5">
        <v>44980</v>
      </c>
      <c r="AA27" s="5">
        <v>45028</v>
      </c>
      <c r="AB27" s="5">
        <v>45028</v>
      </c>
      <c r="AC27" s="3"/>
      <c r="AD27" s="6"/>
      <c r="AE27" s="5">
        <v>46096</v>
      </c>
      <c r="AF27" s="3"/>
      <c r="AG27" s="3"/>
      <c r="AH27" s="3"/>
      <c r="AI27" s="3"/>
      <c r="AJ27" s="3"/>
      <c r="AK27" s="3"/>
      <c r="AL27" s="3" t="str">
        <f t="shared" si="0"/>
        <v/>
      </c>
      <c r="AM27" s="3" t="str">
        <f t="shared" si="1"/>
        <v/>
      </c>
      <c r="AN27" s="3">
        <f t="shared" si="2"/>
        <v>100</v>
      </c>
      <c r="AO27" s="3" t="str">
        <f t="shared" si="3"/>
        <v/>
      </c>
      <c r="AP27" s="3"/>
      <c r="AQ27" s="3"/>
      <c r="AR27" s="3" t="str">
        <f t="shared" si="4"/>
        <v/>
      </c>
      <c r="AS27" s="3"/>
      <c r="AT27" s="3">
        <f t="shared" si="5"/>
        <v>100</v>
      </c>
      <c r="AU27" s="3" t="str">
        <f t="shared" si="6"/>
        <v/>
      </c>
      <c r="AV27" s="3"/>
    </row>
    <row r="28" spans="1:48" ht="69.900000000000006" customHeight="1" x14ac:dyDescent="0.3">
      <c r="A28" s="3" t="s">
        <v>136</v>
      </c>
      <c r="B28" s="3" t="s">
        <v>72</v>
      </c>
      <c r="C28" s="3" t="s">
        <v>137</v>
      </c>
      <c r="D28" s="3"/>
      <c r="E28" s="3" t="s">
        <v>74</v>
      </c>
      <c r="F28" s="3"/>
      <c r="G28" s="3" t="s">
        <v>122</v>
      </c>
      <c r="H28" s="3" t="s">
        <v>55</v>
      </c>
      <c r="I28" s="3" t="s">
        <v>75</v>
      </c>
      <c r="J28" s="3"/>
      <c r="K28" s="4">
        <v>10889084257</v>
      </c>
      <c r="L28" s="4">
        <v>0</v>
      </c>
      <c r="M28" s="4">
        <v>0</v>
      </c>
      <c r="N28" s="4">
        <v>0</v>
      </c>
      <c r="O28" s="4">
        <v>10889084257</v>
      </c>
      <c r="P28" s="4">
        <v>10889084255.700001</v>
      </c>
      <c r="Q28" s="5">
        <v>45804</v>
      </c>
      <c r="R28" s="5">
        <v>44926</v>
      </c>
      <c r="S28" s="5">
        <v>44925</v>
      </c>
      <c r="T28" s="5"/>
      <c r="U28" s="4">
        <v>100</v>
      </c>
      <c r="V28" s="4">
        <v>100</v>
      </c>
      <c r="W28" s="3"/>
      <c r="X28" s="3"/>
      <c r="Y28" s="5">
        <v>44924</v>
      </c>
      <c r="Z28" s="5">
        <v>45020</v>
      </c>
      <c r="AA28" s="5">
        <v>45107</v>
      </c>
      <c r="AB28" s="5">
        <v>45139</v>
      </c>
      <c r="AC28" s="3"/>
      <c r="AD28" s="6"/>
      <c r="AE28" s="5">
        <v>46096</v>
      </c>
      <c r="AF28" s="3"/>
      <c r="AG28" s="3"/>
      <c r="AH28" s="3"/>
      <c r="AI28" s="3"/>
      <c r="AJ28" s="3"/>
      <c r="AK28" s="3"/>
      <c r="AL28" s="3" t="str">
        <f t="shared" si="0"/>
        <v/>
      </c>
      <c r="AM28" s="3" t="str">
        <f t="shared" si="1"/>
        <v/>
      </c>
      <c r="AN28" s="3">
        <f t="shared" si="2"/>
        <v>100</v>
      </c>
      <c r="AO28" s="3" t="str">
        <f t="shared" si="3"/>
        <v/>
      </c>
      <c r="AP28" s="3"/>
      <c r="AQ28" s="3"/>
      <c r="AR28" s="3" t="str">
        <f t="shared" si="4"/>
        <v/>
      </c>
      <c r="AS28" s="3"/>
      <c r="AT28" s="3">
        <f t="shared" si="5"/>
        <v>100</v>
      </c>
      <c r="AU28" s="3" t="str">
        <f t="shared" si="6"/>
        <v/>
      </c>
      <c r="AV28" s="3"/>
    </row>
    <row r="29" spans="1:48" ht="69.900000000000006" customHeight="1" x14ac:dyDescent="0.3">
      <c r="A29" s="3" t="s">
        <v>138</v>
      </c>
      <c r="B29" s="3" t="s">
        <v>72</v>
      </c>
      <c r="C29" s="3" t="s">
        <v>139</v>
      </c>
      <c r="D29" s="3"/>
      <c r="E29" s="3" t="s">
        <v>129</v>
      </c>
      <c r="F29" s="3"/>
      <c r="G29" s="3" t="s">
        <v>67</v>
      </c>
      <c r="H29" s="3" t="s">
        <v>61</v>
      </c>
      <c r="I29" s="3" t="s">
        <v>62</v>
      </c>
      <c r="J29" s="3" t="s">
        <v>76</v>
      </c>
      <c r="K29" s="4">
        <v>9528331044</v>
      </c>
      <c r="L29" s="4">
        <v>0</v>
      </c>
      <c r="M29" s="4">
        <v>0</v>
      </c>
      <c r="N29" s="4">
        <v>0</v>
      </c>
      <c r="O29" s="4">
        <v>9528331044</v>
      </c>
      <c r="P29" s="4">
        <v>8458542091</v>
      </c>
      <c r="Q29" s="5">
        <v>45895</v>
      </c>
      <c r="R29" s="5">
        <v>44800</v>
      </c>
      <c r="S29" s="5">
        <v>44798</v>
      </c>
      <c r="T29" s="5"/>
      <c r="U29" s="4">
        <v>99.67</v>
      </c>
      <c r="V29" s="4">
        <v>88.77</v>
      </c>
      <c r="W29" s="3"/>
      <c r="X29" s="3"/>
      <c r="Y29" s="5">
        <v>44797</v>
      </c>
      <c r="Z29" s="5">
        <v>45012</v>
      </c>
      <c r="AA29" s="5">
        <v>45054</v>
      </c>
      <c r="AB29" s="5">
        <v>45111</v>
      </c>
      <c r="AC29" s="3"/>
      <c r="AD29" s="6"/>
      <c r="AE29" s="5">
        <v>46096</v>
      </c>
      <c r="AF29" s="3"/>
      <c r="AG29" s="3"/>
      <c r="AH29" s="3"/>
      <c r="AI29" s="3"/>
      <c r="AJ29" s="3"/>
      <c r="AK29" s="3"/>
      <c r="AL29" s="3" t="str">
        <f t="shared" si="0"/>
        <v/>
      </c>
      <c r="AM29" s="3" t="str">
        <f t="shared" si="1"/>
        <v/>
      </c>
      <c r="AN29" s="3">
        <f t="shared" si="2"/>
        <v>100</v>
      </c>
      <c r="AO29" s="3" t="str">
        <f t="shared" si="3"/>
        <v/>
      </c>
      <c r="AP29" s="3"/>
      <c r="AQ29" s="3"/>
      <c r="AR29" s="3" t="str">
        <f t="shared" si="4"/>
        <v/>
      </c>
      <c r="AS29" s="3"/>
      <c r="AT29" s="3">
        <f t="shared" si="5"/>
        <v>100</v>
      </c>
      <c r="AU29" s="3" t="str">
        <f t="shared" si="6"/>
        <v/>
      </c>
      <c r="AV29" s="3"/>
    </row>
    <row r="30" spans="1:48" ht="69.900000000000006" customHeight="1" x14ac:dyDescent="0.3">
      <c r="A30" s="3" t="s">
        <v>140</v>
      </c>
      <c r="B30" s="3" t="s">
        <v>72</v>
      </c>
      <c r="C30" s="3" t="s">
        <v>141</v>
      </c>
      <c r="D30" s="3"/>
      <c r="E30" s="3" t="s">
        <v>129</v>
      </c>
      <c r="F30" s="3"/>
      <c r="G30" s="3" t="s">
        <v>122</v>
      </c>
      <c r="H30" s="3" t="s">
        <v>55</v>
      </c>
      <c r="I30" s="3" t="s">
        <v>75</v>
      </c>
      <c r="J30" s="3" t="s">
        <v>76</v>
      </c>
      <c r="K30" s="4">
        <v>14530936843.950001</v>
      </c>
      <c r="L30" s="4">
        <v>0</v>
      </c>
      <c r="M30" s="4">
        <v>0</v>
      </c>
      <c r="N30" s="4">
        <v>0</v>
      </c>
      <c r="O30" s="4">
        <v>14530936843.950001</v>
      </c>
      <c r="P30" s="4">
        <v>14530936843.950001</v>
      </c>
      <c r="Q30" s="5">
        <v>45727</v>
      </c>
      <c r="R30" s="5">
        <v>44926</v>
      </c>
      <c r="S30" s="5">
        <v>44925</v>
      </c>
      <c r="T30" s="5"/>
      <c r="U30" s="4">
        <v>100</v>
      </c>
      <c r="V30" s="4">
        <v>100</v>
      </c>
      <c r="W30" s="3"/>
      <c r="X30" s="3"/>
      <c r="Y30" s="5">
        <v>44924</v>
      </c>
      <c r="Z30" s="5">
        <v>45009</v>
      </c>
      <c r="AA30" s="5">
        <v>45077</v>
      </c>
      <c r="AB30" s="5">
        <v>45112</v>
      </c>
      <c r="AC30" s="3"/>
      <c r="AD30" s="6"/>
      <c r="AE30" s="5">
        <v>46096</v>
      </c>
      <c r="AF30" s="3"/>
      <c r="AG30" s="3"/>
      <c r="AH30" s="3"/>
      <c r="AI30" s="3"/>
      <c r="AJ30" s="3"/>
      <c r="AK30" s="3"/>
      <c r="AL30" s="3" t="str">
        <f t="shared" si="0"/>
        <v/>
      </c>
      <c r="AM30" s="3" t="str">
        <f t="shared" si="1"/>
        <v/>
      </c>
      <c r="AN30" s="3">
        <f t="shared" si="2"/>
        <v>100</v>
      </c>
      <c r="AO30" s="3" t="str">
        <f t="shared" si="3"/>
        <v/>
      </c>
      <c r="AP30" s="3"/>
      <c r="AQ30" s="3"/>
      <c r="AR30" s="3" t="str">
        <f t="shared" si="4"/>
        <v/>
      </c>
      <c r="AS30" s="3"/>
      <c r="AT30" s="3">
        <f t="shared" si="5"/>
        <v>100</v>
      </c>
      <c r="AU30" s="3" t="str">
        <f t="shared" si="6"/>
        <v/>
      </c>
      <c r="AV30" s="3"/>
    </row>
    <row r="31" spans="1:48" ht="69.900000000000006" customHeight="1" x14ac:dyDescent="0.3">
      <c r="A31" s="3" t="s">
        <v>142</v>
      </c>
      <c r="B31" s="3" t="s">
        <v>72</v>
      </c>
      <c r="C31" s="3" t="s">
        <v>143</v>
      </c>
      <c r="D31" s="3"/>
      <c r="E31" s="3" t="s">
        <v>144</v>
      </c>
      <c r="F31" s="3"/>
      <c r="G31" s="3" t="s">
        <v>54</v>
      </c>
      <c r="H31" s="3" t="s">
        <v>70</v>
      </c>
      <c r="I31" s="3" t="s">
        <v>75</v>
      </c>
      <c r="J31" s="3" t="s">
        <v>145</v>
      </c>
      <c r="K31" s="4">
        <v>1226001186</v>
      </c>
      <c r="L31" s="4">
        <v>0</v>
      </c>
      <c r="M31" s="4">
        <v>0</v>
      </c>
      <c r="N31" s="4">
        <v>0</v>
      </c>
      <c r="O31" s="4">
        <v>1226001186</v>
      </c>
      <c r="P31" s="4">
        <v>1170382910.0899999</v>
      </c>
      <c r="Q31" s="5">
        <v>45951</v>
      </c>
      <c r="R31" s="5">
        <v>45104</v>
      </c>
      <c r="S31" s="5">
        <v>45094</v>
      </c>
      <c r="T31" s="5"/>
      <c r="U31" s="4">
        <v>99.48</v>
      </c>
      <c r="V31" s="4">
        <v>95.46</v>
      </c>
      <c r="W31" s="3"/>
      <c r="X31" s="3"/>
      <c r="Y31" s="5">
        <v>45093</v>
      </c>
      <c r="Z31" s="5">
        <v>45250</v>
      </c>
      <c r="AA31" s="5">
        <v>45348</v>
      </c>
      <c r="AB31" s="5">
        <v>45426</v>
      </c>
      <c r="AC31" s="3"/>
      <c r="AD31" s="6"/>
      <c r="AE31" s="5">
        <v>46096</v>
      </c>
      <c r="AF31" s="3"/>
      <c r="AG31" s="3"/>
      <c r="AH31" s="3"/>
      <c r="AI31" s="3"/>
      <c r="AJ31" s="3"/>
      <c r="AK31" s="3"/>
      <c r="AL31" s="3">
        <f t="shared" si="0"/>
        <v>0</v>
      </c>
      <c r="AM31" s="3">
        <f t="shared" si="1"/>
        <v>0</v>
      </c>
      <c r="AN31" s="3">
        <f t="shared" si="2"/>
        <v>100</v>
      </c>
      <c r="AO31" s="3">
        <f t="shared" si="3"/>
        <v>100</v>
      </c>
      <c r="AP31" s="3"/>
      <c r="AQ31" s="3"/>
      <c r="AR31" s="3" t="str">
        <f t="shared" si="4"/>
        <v/>
      </c>
      <c r="AS31" s="3"/>
      <c r="AT31" s="3">
        <f t="shared" si="5"/>
        <v>100</v>
      </c>
      <c r="AU31" s="3" t="str">
        <f t="shared" si="6"/>
        <v/>
      </c>
      <c r="AV31" s="3"/>
    </row>
    <row r="32" spans="1:48" ht="69.900000000000006" customHeight="1" x14ac:dyDescent="0.3">
      <c r="A32" s="3" t="s">
        <v>146</v>
      </c>
      <c r="B32" s="3" t="s">
        <v>72</v>
      </c>
      <c r="C32" s="3" t="s">
        <v>147</v>
      </c>
      <c r="D32" s="3"/>
      <c r="E32" s="3" t="s">
        <v>74</v>
      </c>
      <c r="F32" s="3"/>
      <c r="G32" s="3" t="s">
        <v>54</v>
      </c>
      <c r="H32" s="3" t="s">
        <v>70</v>
      </c>
      <c r="I32" s="3" t="s">
        <v>75</v>
      </c>
      <c r="J32" s="3" t="s">
        <v>148</v>
      </c>
      <c r="K32" s="4">
        <v>10940798931</v>
      </c>
      <c r="L32" s="4">
        <v>0</v>
      </c>
      <c r="M32" s="4">
        <v>0</v>
      </c>
      <c r="N32" s="4">
        <v>0</v>
      </c>
      <c r="O32" s="4">
        <v>10940798931</v>
      </c>
      <c r="P32" s="4">
        <v>6306947531.1300001</v>
      </c>
      <c r="Q32" s="5">
        <v>46017</v>
      </c>
      <c r="R32" s="5">
        <v>45474</v>
      </c>
      <c r="S32" s="5">
        <v>45472</v>
      </c>
      <c r="T32" s="5">
        <v>45490</v>
      </c>
      <c r="U32" s="4">
        <v>54.17</v>
      </c>
      <c r="V32" s="4">
        <v>57.65</v>
      </c>
      <c r="W32" s="3"/>
      <c r="X32" s="3"/>
      <c r="Y32" s="5">
        <v>45471</v>
      </c>
      <c r="Z32" s="5">
        <v>45573</v>
      </c>
      <c r="AA32" s="5">
        <v>45793</v>
      </c>
      <c r="AB32" s="5">
        <v>45847</v>
      </c>
      <c r="AC32" s="3"/>
      <c r="AD32" s="6"/>
      <c r="AE32" s="5">
        <v>46096</v>
      </c>
      <c r="AF32" s="3"/>
      <c r="AG32" s="3"/>
      <c r="AH32" s="3"/>
      <c r="AI32" s="3"/>
      <c r="AJ32" s="3"/>
      <c r="AK32" s="3"/>
      <c r="AL32" s="3">
        <f t="shared" si="0"/>
        <v>0</v>
      </c>
      <c r="AM32" s="3">
        <f t="shared" si="1"/>
        <v>0</v>
      </c>
      <c r="AN32" s="3">
        <f t="shared" si="2"/>
        <v>100</v>
      </c>
      <c r="AO32" s="3">
        <f t="shared" si="3"/>
        <v>100</v>
      </c>
      <c r="AP32" s="3"/>
      <c r="AQ32" s="3"/>
      <c r="AR32" s="3" t="str">
        <f t="shared" si="4"/>
        <v/>
      </c>
      <c r="AS32" s="3"/>
      <c r="AT32" s="3">
        <f t="shared" si="5"/>
        <v>100</v>
      </c>
      <c r="AU32" s="3" t="str">
        <f t="shared" si="6"/>
        <v/>
      </c>
      <c r="AV32" s="3"/>
    </row>
    <row r="33" spans="1:48" ht="69.900000000000006" customHeight="1" x14ac:dyDescent="0.3">
      <c r="A33" s="3" t="s">
        <v>149</v>
      </c>
      <c r="B33" s="3" t="s">
        <v>150</v>
      </c>
      <c r="C33" s="3" t="s">
        <v>151</v>
      </c>
      <c r="D33" s="3"/>
      <c r="E33" s="3" t="s">
        <v>152</v>
      </c>
      <c r="F33" s="3"/>
      <c r="G33" s="3" t="s">
        <v>54</v>
      </c>
      <c r="H33" s="3" t="s">
        <v>70</v>
      </c>
      <c r="I33" s="3" t="s">
        <v>62</v>
      </c>
      <c r="J33" s="3" t="s">
        <v>76</v>
      </c>
      <c r="K33" s="4">
        <v>8600669220</v>
      </c>
      <c r="L33" s="4">
        <v>0</v>
      </c>
      <c r="M33" s="4">
        <v>216384280</v>
      </c>
      <c r="N33" s="4">
        <v>0</v>
      </c>
      <c r="O33" s="4">
        <v>8817053500</v>
      </c>
      <c r="P33" s="4">
        <v>3440267688</v>
      </c>
      <c r="Q33" s="5">
        <v>45895</v>
      </c>
      <c r="R33" s="5">
        <v>45094</v>
      </c>
      <c r="S33" s="5">
        <v>45094</v>
      </c>
      <c r="T33" s="5">
        <v>45100</v>
      </c>
      <c r="U33" s="4">
        <v>96.2</v>
      </c>
      <c r="V33" s="4">
        <v>39.020000000000003</v>
      </c>
      <c r="W33" s="3"/>
      <c r="X33" s="3"/>
      <c r="Y33" s="5">
        <v>45093</v>
      </c>
      <c r="Z33" s="5">
        <v>45093</v>
      </c>
      <c r="AA33" s="5">
        <v>45188</v>
      </c>
      <c r="AB33" s="5">
        <v>45202</v>
      </c>
      <c r="AC33" s="3"/>
      <c r="AD33" s="6"/>
      <c r="AE33" s="5">
        <v>46096</v>
      </c>
      <c r="AF33" s="3"/>
      <c r="AG33" s="3"/>
      <c r="AH33" s="3"/>
      <c r="AI33" s="3"/>
      <c r="AJ33" s="3"/>
      <c r="AK33" s="3"/>
      <c r="AL33" s="3">
        <f t="shared" si="0"/>
        <v>0</v>
      </c>
      <c r="AM33" s="3">
        <f t="shared" si="1"/>
        <v>0</v>
      </c>
      <c r="AN33" s="3">
        <f t="shared" si="2"/>
        <v>100</v>
      </c>
      <c r="AO33" s="3">
        <f t="shared" si="3"/>
        <v>100</v>
      </c>
      <c r="AP33" s="3"/>
      <c r="AQ33" s="3"/>
      <c r="AR33" s="3" t="str">
        <f t="shared" si="4"/>
        <v/>
      </c>
      <c r="AS33" s="3"/>
      <c r="AT33" s="3">
        <f t="shared" si="5"/>
        <v>100</v>
      </c>
      <c r="AU33" s="3" t="str">
        <f t="shared" si="6"/>
        <v/>
      </c>
      <c r="AV33" s="3"/>
    </row>
    <row r="34" spans="1:48" ht="69.900000000000006" customHeight="1" x14ac:dyDescent="0.3">
      <c r="A34" s="3" t="s">
        <v>153</v>
      </c>
      <c r="B34" s="3" t="s">
        <v>72</v>
      </c>
      <c r="C34" s="3" t="s">
        <v>154</v>
      </c>
      <c r="D34" s="3"/>
      <c r="E34" s="3" t="s">
        <v>155</v>
      </c>
      <c r="F34" s="3"/>
      <c r="G34" s="3" t="s">
        <v>122</v>
      </c>
      <c r="H34" s="3" t="s">
        <v>55</v>
      </c>
      <c r="I34" s="3" t="s">
        <v>75</v>
      </c>
      <c r="J34" s="3" t="s">
        <v>76</v>
      </c>
      <c r="K34" s="4">
        <v>1657061525</v>
      </c>
      <c r="L34" s="4">
        <v>0</v>
      </c>
      <c r="M34" s="4">
        <v>0</v>
      </c>
      <c r="N34" s="4">
        <v>0</v>
      </c>
      <c r="O34" s="4">
        <v>1657061525</v>
      </c>
      <c r="P34" s="4">
        <v>1657061514.45</v>
      </c>
      <c r="Q34" s="5">
        <v>45986</v>
      </c>
      <c r="R34" s="5">
        <v>45104</v>
      </c>
      <c r="S34" s="5">
        <v>45094</v>
      </c>
      <c r="T34" s="5">
        <v>45105</v>
      </c>
      <c r="U34" s="4">
        <v>100.01</v>
      </c>
      <c r="V34" s="4">
        <v>100</v>
      </c>
      <c r="W34" s="3"/>
      <c r="X34" s="3"/>
      <c r="Y34" s="5">
        <v>45093</v>
      </c>
      <c r="Z34" s="5">
        <v>45275</v>
      </c>
      <c r="AA34" s="5">
        <v>45386</v>
      </c>
      <c r="AB34" s="5">
        <v>45411</v>
      </c>
      <c r="AC34" s="3"/>
      <c r="AD34" s="6"/>
      <c r="AE34" s="5">
        <v>46096</v>
      </c>
      <c r="AF34" s="3"/>
      <c r="AG34" s="3"/>
      <c r="AH34" s="3"/>
      <c r="AI34" s="3"/>
      <c r="AJ34" s="3"/>
      <c r="AK34" s="3"/>
      <c r="AL34" s="3" t="str">
        <f t="shared" si="0"/>
        <v/>
      </c>
      <c r="AM34" s="3" t="str">
        <f t="shared" si="1"/>
        <v/>
      </c>
      <c r="AN34" s="3">
        <f t="shared" si="2"/>
        <v>100</v>
      </c>
      <c r="AO34" s="3" t="str">
        <f t="shared" si="3"/>
        <v/>
      </c>
      <c r="AP34" s="3"/>
      <c r="AQ34" s="3"/>
      <c r="AR34" s="3" t="str">
        <f t="shared" si="4"/>
        <v/>
      </c>
      <c r="AS34" s="3"/>
      <c r="AT34" s="3">
        <f t="shared" si="5"/>
        <v>100</v>
      </c>
      <c r="AU34" s="3" t="str">
        <f t="shared" si="6"/>
        <v/>
      </c>
      <c r="AV34" s="3"/>
    </row>
    <row r="35" spans="1:48" ht="69.900000000000006" customHeight="1" x14ac:dyDescent="0.3">
      <c r="A35" s="3" t="s">
        <v>156</v>
      </c>
      <c r="B35" s="3" t="s">
        <v>51</v>
      </c>
      <c r="C35" s="3" t="s">
        <v>157</v>
      </c>
      <c r="D35" s="3"/>
      <c r="E35" s="3" t="s">
        <v>158</v>
      </c>
      <c r="F35" s="3"/>
      <c r="G35" s="3" t="s">
        <v>122</v>
      </c>
      <c r="H35" s="3" t="s">
        <v>55</v>
      </c>
      <c r="I35" s="3" t="s">
        <v>102</v>
      </c>
      <c r="J35" s="3" t="s">
        <v>76</v>
      </c>
      <c r="K35" s="4">
        <v>14555629486.65</v>
      </c>
      <c r="L35" s="4">
        <v>0</v>
      </c>
      <c r="M35" s="4">
        <v>0</v>
      </c>
      <c r="N35" s="4">
        <v>0</v>
      </c>
      <c r="O35" s="4">
        <v>14555629486.65</v>
      </c>
      <c r="P35" s="4">
        <v>13745203046.280001</v>
      </c>
      <c r="Q35" s="5">
        <v>45328</v>
      </c>
      <c r="R35" s="5">
        <v>45104</v>
      </c>
      <c r="S35" s="5">
        <v>45101</v>
      </c>
      <c r="T35" s="5"/>
      <c r="U35" s="4">
        <v>94.43</v>
      </c>
      <c r="V35" s="4">
        <v>94.43</v>
      </c>
      <c r="W35" s="3"/>
      <c r="X35" s="3"/>
      <c r="Y35" s="5">
        <v>45100</v>
      </c>
      <c r="Z35" s="5"/>
      <c r="AA35" s="5">
        <v>45223</v>
      </c>
      <c r="AB35" s="5">
        <v>45223</v>
      </c>
      <c r="AC35" s="3"/>
      <c r="AD35" s="6"/>
      <c r="AE35" s="5">
        <v>46096</v>
      </c>
      <c r="AF35" s="3"/>
      <c r="AG35" s="3"/>
      <c r="AH35" s="3"/>
      <c r="AI35" s="3"/>
      <c r="AJ35" s="3"/>
      <c r="AK35" s="3"/>
      <c r="AL35" s="3" t="str">
        <f t="shared" ref="AL35:AL57" si="7">IF(AND($X35&gt;1.3,$G35="CONTRATADO EN EJECUCIÓN"),0,IF(AND($X35&gt;1.25,$X35&lt;=1.3,$G35="CONTRATADO EN EJECUCIÓN"),30,IF(AND($X35&gt;1.2,$X35&lt;=1.25,$G35="CONTRATADO EN EJECUCIÓN"),90,IF(AND($X35&gt;=0.84,$X35&lt;1.2,$G35="CONTRATADO EN EJECUCIÓN"),100,IF(AND($X35&gt;=0.38,$X35&lt;0.84,$G35="CONTRATADO EN EJECUCIÓN"),(($X35-0.38)/(0.84-0.38))*100,IF(AND($X35&lt;0.38,$G35="CONTRATADO EN EJECUCIÓN"),0,""))))))</f>
        <v/>
      </c>
      <c r="AM35" s="3" t="str">
        <f t="shared" ref="AM35:AM57" si="8">IF(AND($W35&gt;1.3,$G35="CONTRATADO EN EJECUCIÓN"),0,IF(AND($W35&gt;1.25,$W35&lt;=1.3,$G35="CONTRATADO EN EJECUCIÓN"),30,IF(AND($W35&gt;1.2,$W35&lt;=1.25,$G35="CONTRATADO EN EJECUCIÓN"),90,IF(AND($W35&gt;=0.84,$W35&lt;1.2,$G35="CONTRATADO EN EJECUCIÓN"),100,IF(AND($W35&gt;=0.38,$W35&lt;0.84,$G35="CONTRATADO EN EJECUCIÓN"),(($W35-0.38)/(0.84-0.38))*100,IF(AND($W35&lt;0.38,$G35="CONTRATADO EN EJECUCIÓN"),0,""))))))</f>
        <v/>
      </c>
      <c r="AN35" s="3">
        <f t="shared" ref="AN35:AN57" si="9">IF(AND($V35&lt;60,($V35-$U35)&lt;=50),100,IF(AND($V35&lt;60,($V35-$U35)&gt;50),0,IF(AND($V35&gt;=60,$V35&lt;70,($V35-$U35)&lt;=40),100,IF(AND($V35&gt;=60,$V35&lt;70,($V35-$U35)&gt;40),0,IF(AND($V35&gt;=70,$V35&lt;80,($V35-$U35)&lt;=30),100,IF(AND($V35&gt;=70,$V35&lt;80,($V35-$U35)&gt;30),0,IF(AND($V35&gt;=80,$V35&lt;90,($V35-$U35)&lt;=20),100,IF(AND($V35&gt;=80,$V35&lt;90,($V35-$U35)&gt;20),0,IF(AND($V35&gt;=90,$V35&lt;=100,($V35-$U35)&lt;=10),100,IF(AND($V35&gt;=90,$V35&lt;=100,($V35-$U35)&gt;10),0,""))))))))))</f>
        <v>100</v>
      </c>
      <c r="AO35" s="3" t="str">
        <f t="shared" ref="AO35:AO57" si="10">IF(AND($U35&gt;$V35,$G35="CONTRATADO EN EJECUCIÓN"),100,IF(AND($V35&gt;$U35,($V35-$U35)&gt;50,$G35="CONTRATADO EN EJECUCIÓN"),0,IF(AND($V35&gt;$U35,($V35-$U35)&lt;=50,$V35&lt;=60),100,IF(AND($V35&gt;$U35,($V35-$U35)&lt;=50,$V35&gt;60),$AN35,""))))</f>
        <v/>
      </c>
      <c r="AP35" s="3"/>
      <c r="AQ35" s="3"/>
      <c r="AR35" s="3" t="str">
        <f t="shared" ref="AR35:AR57" si="11">IF(ISNUMBER($AH35),IF(DAY($AH35)=10,100,IF(DAY($AH35)=11,80,IF(DAY($AH35)=12,50,0))),"")</f>
        <v/>
      </c>
      <c r="AS35" s="3"/>
      <c r="AT35" s="3">
        <f t="shared" ref="AT35:AT57" si="12">IF($AP35=0,100,IF($AP35=1,90,IF($AP35=2,75,IF($AP35=3,60,IF($AP35=4,50,IF($AP35=5,25,IF($AP35&gt;=6,0,"")))))))</f>
        <v>100</v>
      </c>
      <c r="AU35" s="3" t="str">
        <f t="shared" ref="AU35:AU57" si="13">IFERROR(IF(AND($G35="CONTRATADO EN EJECUCIÓN",$AP35&gt;1),(IFERROR(IF(ISTEXT($AF35),($AL35*0.4+$AM35*0.2+$AO35*0.4),""),""))*$AT35/100,IFERROR(IF(ISTEXT($AF35),($AL35*0.4+$AM35*0.2+$AO35*0.4),""),"")),0)</f>
        <v/>
      </c>
      <c r="AV35" s="3"/>
    </row>
    <row r="36" spans="1:48" ht="69.900000000000006" customHeight="1" x14ac:dyDescent="0.3">
      <c r="A36" s="3" t="s">
        <v>159</v>
      </c>
      <c r="B36" s="3" t="s">
        <v>72</v>
      </c>
      <c r="C36" s="3" t="s">
        <v>160</v>
      </c>
      <c r="D36" s="3"/>
      <c r="E36" s="3" t="s">
        <v>74</v>
      </c>
      <c r="F36" s="3"/>
      <c r="G36" s="3" t="s">
        <v>54</v>
      </c>
      <c r="H36" s="3" t="s">
        <v>70</v>
      </c>
      <c r="I36" s="3" t="s">
        <v>75</v>
      </c>
      <c r="J36" s="3"/>
      <c r="K36" s="4">
        <v>23521931236</v>
      </c>
      <c r="L36" s="4">
        <v>0</v>
      </c>
      <c r="M36" s="4">
        <v>30000000000</v>
      </c>
      <c r="N36" s="4">
        <v>0</v>
      </c>
      <c r="O36" s="4">
        <v>53521931236</v>
      </c>
      <c r="P36" s="4">
        <v>1816829390</v>
      </c>
      <c r="Q36" s="5">
        <v>46078</v>
      </c>
      <c r="R36" s="5">
        <v>45508</v>
      </c>
      <c r="S36" s="5">
        <v>45506</v>
      </c>
      <c r="T36" s="5">
        <v>45505</v>
      </c>
      <c r="U36" s="4">
        <v>0.81</v>
      </c>
      <c r="V36" s="4">
        <v>2.75</v>
      </c>
      <c r="W36" s="3"/>
      <c r="X36" s="3"/>
      <c r="Y36" s="5">
        <v>45505</v>
      </c>
      <c r="Z36" s="5"/>
      <c r="AA36" s="5">
        <v>45953</v>
      </c>
      <c r="AB36" s="5">
        <v>45967</v>
      </c>
      <c r="AC36" s="3"/>
      <c r="AD36" s="6"/>
      <c r="AE36" s="5">
        <v>46096</v>
      </c>
      <c r="AF36" s="3"/>
      <c r="AG36" s="3"/>
      <c r="AH36" s="3"/>
      <c r="AI36" s="3"/>
      <c r="AJ36" s="3"/>
      <c r="AK36" s="3"/>
      <c r="AL36" s="3">
        <f t="shared" si="7"/>
        <v>0</v>
      </c>
      <c r="AM36" s="3">
        <f t="shared" si="8"/>
        <v>0</v>
      </c>
      <c r="AN36" s="3">
        <f t="shared" si="9"/>
        <v>100</v>
      </c>
      <c r="AO36" s="3">
        <f t="shared" si="10"/>
        <v>100</v>
      </c>
      <c r="AP36" s="3"/>
      <c r="AQ36" s="3"/>
      <c r="AR36" s="3" t="str">
        <f t="shared" si="11"/>
        <v/>
      </c>
      <c r="AS36" s="3"/>
      <c r="AT36" s="3">
        <f t="shared" si="12"/>
        <v>100</v>
      </c>
      <c r="AU36" s="3" t="str">
        <f t="shared" si="13"/>
        <v/>
      </c>
      <c r="AV36" s="3"/>
    </row>
    <row r="37" spans="1:48" ht="69.900000000000006" customHeight="1" x14ac:dyDescent="0.3">
      <c r="A37" s="3" t="s">
        <v>161</v>
      </c>
      <c r="B37" s="3" t="s">
        <v>65</v>
      </c>
      <c r="C37" s="3" t="s">
        <v>162</v>
      </c>
      <c r="D37" s="3"/>
      <c r="E37" s="3" t="s">
        <v>91</v>
      </c>
      <c r="F37" s="3"/>
      <c r="G37" s="3" t="s">
        <v>54</v>
      </c>
      <c r="H37" s="3" t="s">
        <v>70</v>
      </c>
      <c r="I37" s="3" t="s">
        <v>62</v>
      </c>
      <c r="J37" s="3" t="s">
        <v>76</v>
      </c>
      <c r="K37" s="4">
        <v>2999999744</v>
      </c>
      <c r="L37" s="4">
        <v>0</v>
      </c>
      <c r="M37" s="4">
        <v>0</v>
      </c>
      <c r="N37" s="4">
        <v>0</v>
      </c>
      <c r="O37" s="4">
        <v>2999999744</v>
      </c>
      <c r="P37" s="4">
        <v>2999999744</v>
      </c>
      <c r="Q37" s="5">
        <v>45477</v>
      </c>
      <c r="R37" s="5">
        <v>45241</v>
      </c>
      <c r="S37" s="5">
        <v>45234</v>
      </c>
      <c r="T37" s="5">
        <v>45244</v>
      </c>
      <c r="U37" s="4">
        <v>93.95</v>
      </c>
      <c r="V37" s="4">
        <v>100</v>
      </c>
      <c r="W37" s="3"/>
      <c r="X37" s="3"/>
      <c r="Y37" s="5">
        <v>45233</v>
      </c>
      <c r="Z37" s="5">
        <v>45408</v>
      </c>
      <c r="AA37" s="5">
        <v>45427</v>
      </c>
      <c r="AB37" s="5">
        <v>45440</v>
      </c>
      <c r="AC37" s="3"/>
      <c r="AD37" s="6"/>
      <c r="AE37" s="5">
        <v>46096</v>
      </c>
      <c r="AF37" s="3"/>
      <c r="AG37" s="3"/>
      <c r="AH37" s="3"/>
      <c r="AI37" s="3"/>
      <c r="AJ37" s="3"/>
      <c r="AK37" s="3"/>
      <c r="AL37" s="3">
        <f t="shared" si="7"/>
        <v>0</v>
      </c>
      <c r="AM37" s="3">
        <f t="shared" si="8"/>
        <v>0</v>
      </c>
      <c r="AN37" s="3">
        <f t="shared" si="9"/>
        <v>100</v>
      </c>
      <c r="AO37" s="3">
        <f t="shared" si="10"/>
        <v>100</v>
      </c>
      <c r="AP37" s="3"/>
      <c r="AQ37" s="3"/>
      <c r="AR37" s="3" t="str">
        <f t="shared" si="11"/>
        <v/>
      </c>
      <c r="AS37" s="3"/>
      <c r="AT37" s="3">
        <f t="shared" si="12"/>
        <v>100</v>
      </c>
      <c r="AU37" s="3" t="str">
        <f t="shared" si="13"/>
        <v/>
      </c>
      <c r="AV37" s="3"/>
    </row>
    <row r="38" spans="1:48" ht="69.900000000000006" customHeight="1" x14ac:dyDescent="0.3">
      <c r="A38" s="3" t="s">
        <v>163</v>
      </c>
      <c r="B38" s="3" t="s">
        <v>72</v>
      </c>
      <c r="C38" s="3" t="s">
        <v>164</v>
      </c>
      <c r="D38" s="3"/>
      <c r="E38" s="3" t="s">
        <v>125</v>
      </c>
      <c r="F38" s="3"/>
      <c r="G38" s="3" t="s">
        <v>54</v>
      </c>
      <c r="H38" s="3" t="s">
        <v>70</v>
      </c>
      <c r="I38" s="3" t="s">
        <v>75</v>
      </c>
      <c r="J38" s="3" t="s">
        <v>165</v>
      </c>
      <c r="K38" s="4">
        <v>10877971203</v>
      </c>
      <c r="L38" s="4">
        <v>0</v>
      </c>
      <c r="M38" s="4">
        <v>0</v>
      </c>
      <c r="N38" s="4">
        <v>0</v>
      </c>
      <c r="O38" s="4">
        <v>10877971203</v>
      </c>
      <c r="P38" s="4">
        <v>6892537653.6599998</v>
      </c>
      <c r="Q38" s="5">
        <v>46072</v>
      </c>
      <c r="R38" s="5">
        <v>45301</v>
      </c>
      <c r="S38" s="5">
        <v>45291</v>
      </c>
      <c r="T38" s="5"/>
      <c r="U38" s="4">
        <v>50.16</v>
      </c>
      <c r="V38" s="4">
        <v>63.36</v>
      </c>
      <c r="W38" s="3"/>
      <c r="X38" s="3"/>
      <c r="Y38" s="5">
        <v>45290</v>
      </c>
      <c r="Z38" s="5">
        <v>45411</v>
      </c>
      <c r="AA38" s="5">
        <v>45573</v>
      </c>
      <c r="AB38" s="5">
        <v>45616</v>
      </c>
      <c r="AC38" s="3"/>
      <c r="AD38" s="6"/>
      <c r="AE38" s="5">
        <v>46096</v>
      </c>
      <c r="AF38" s="3"/>
      <c r="AG38" s="3"/>
      <c r="AH38" s="3"/>
      <c r="AI38" s="3"/>
      <c r="AJ38" s="3"/>
      <c r="AK38" s="3"/>
      <c r="AL38" s="3">
        <f t="shared" si="7"/>
        <v>0</v>
      </c>
      <c r="AM38" s="3">
        <f t="shared" si="8"/>
        <v>0</v>
      </c>
      <c r="AN38" s="3">
        <f t="shared" si="9"/>
        <v>100</v>
      </c>
      <c r="AO38" s="3">
        <f t="shared" si="10"/>
        <v>100</v>
      </c>
      <c r="AP38" s="3"/>
      <c r="AQ38" s="3"/>
      <c r="AR38" s="3" t="str">
        <f t="shared" si="11"/>
        <v/>
      </c>
      <c r="AS38" s="3"/>
      <c r="AT38" s="3">
        <f t="shared" si="12"/>
        <v>100</v>
      </c>
      <c r="AU38" s="3" t="str">
        <f t="shared" si="13"/>
        <v/>
      </c>
      <c r="AV38" s="3"/>
    </row>
    <row r="39" spans="1:48" ht="69.900000000000006" customHeight="1" x14ac:dyDescent="0.3">
      <c r="A39" s="3" t="s">
        <v>166</v>
      </c>
      <c r="B39" s="3" t="s">
        <v>51</v>
      </c>
      <c r="C39" s="3" t="s">
        <v>167</v>
      </c>
      <c r="D39" s="3"/>
      <c r="E39" s="3" t="s">
        <v>158</v>
      </c>
      <c r="F39" s="3"/>
      <c r="G39" s="3" t="s">
        <v>54</v>
      </c>
      <c r="H39" s="3" t="s">
        <v>70</v>
      </c>
      <c r="I39" s="3" t="s">
        <v>102</v>
      </c>
      <c r="J39" s="3" t="s">
        <v>168</v>
      </c>
      <c r="K39" s="4">
        <v>20000000000</v>
      </c>
      <c r="L39" s="4">
        <v>0</v>
      </c>
      <c r="M39" s="4">
        <v>5812601822.2700005</v>
      </c>
      <c r="N39" s="4">
        <v>0</v>
      </c>
      <c r="O39" s="4">
        <v>25812601822.27</v>
      </c>
      <c r="P39" s="4">
        <v>19985101937.880001</v>
      </c>
      <c r="Q39" s="5">
        <v>45656</v>
      </c>
      <c r="R39" s="5">
        <v>45332</v>
      </c>
      <c r="S39" s="5">
        <v>45330</v>
      </c>
      <c r="T39" s="5">
        <v>45470</v>
      </c>
      <c r="U39" s="4">
        <v>99.25</v>
      </c>
      <c r="V39" s="4">
        <v>77.42</v>
      </c>
      <c r="W39" s="3"/>
      <c r="X39" s="3"/>
      <c r="Y39" s="5">
        <v>45329</v>
      </c>
      <c r="Z39" s="5">
        <v>45575</v>
      </c>
      <c r="AA39" s="5">
        <v>45575</v>
      </c>
      <c r="AB39" s="5">
        <v>45580</v>
      </c>
      <c r="AC39" s="3"/>
      <c r="AD39" s="6"/>
      <c r="AE39" s="5">
        <v>46096</v>
      </c>
      <c r="AF39" s="3"/>
      <c r="AG39" s="3"/>
      <c r="AH39" s="3"/>
      <c r="AI39" s="3"/>
      <c r="AJ39" s="3"/>
      <c r="AK39" s="3"/>
      <c r="AL39" s="3">
        <f t="shared" si="7"/>
        <v>0</v>
      </c>
      <c r="AM39" s="3">
        <f t="shared" si="8"/>
        <v>0</v>
      </c>
      <c r="AN39" s="3">
        <f t="shared" si="9"/>
        <v>100</v>
      </c>
      <c r="AO39" s="3">
        <f t="shared" si="10"/>
        <v>100</v>
      </c>
      <c r="AP39" s="3"/>
      <c r="AQ39" s="3"/>
      <c r="AR39" s="3" t="str">
        <f t="shared" si="11"/>
        <v/>
      </c>
      <c r="AS39" s="3"/>
      <c r="AT39" s="3">
        <f t="shared" si="12"/>
        <v>100</v>
      </c>
      <c r="AU39" s="3" t="str">
        <f t="shared" si="13"/>
        <v/>
      </c>
      <c r="AV39" s="3"/>
    </row>
    <row r="40" spans="1:48" ht="69.900000000000006" customHeight="1" x14ac:dyDescent="0.3">
      <c r="A40" s="3" t="s">
        <v>169</v>
      </c>
      <c r="B40" s="3" t="s">
        <v>72</v>
      </c>
      <c r="C40" s="3" t="s">
        <v>170</v>
      </c>
      <c r="D40" s="3"/>
      <c r="E40" s="3" t="s">
        <v>155</v>
      </c>
      <c r="F40" s="3"/>
      <c r="G40" s="3" t="s">
        <v>54</v>
      </c>
      <c r="H40" s="3" t="s">
        <v>70</v>
      </c>
      <c r="I40" s="3" t="s">
        <v>96</v>
      </c>
      <c r="J40" s="3" t="s">
        <v>76</v>
      </c>
      <c r="K40" s="4">
        <v>2401226400</v>
      </c>
      <c r="L40" s="4">
        <v>0</v>
      </c>
      <c r="M40" s="4">
        <v>0</v>
      </c>
      <c r="N40" s="4">
        <v>0</v>
      </c>
      <c r="O40" s="4">
        <v>2401226400</v>
      </c>
      <c r="P40" s="4">
        <v>885140880</v>
      </c>
      <c r="Q40" s="5">
        <v>46041</v>
      </c>
      <c r="R40" s="5">
        <v>45759</v>
      </c>
      <c r="S40" s="5">
        <v>45757</v>
      </c>
      <c r="T40" s="5">
        <v>45770</v>
      </c>
      <c r="U40" s="4">
        <v>13.65</v>
      </c>
      <c r="V40" s="4">
        <v>36.86</v>
      </c>
      <c r="W40" s="3"/>
      <c r="X40" s="3"/>
      <c r="Y40" s="5">
        <v>45756</v>
      </c>
      <c r="Z40" s="5">
        <v>45917</v>
      </c>
      <c r="AA40" s="5">
        <v>45994</v>
      </c>
      <c r="AB40" s="5">
        <v>46006</v>
      </c>
      <c r="AC40" s="3"/>
      <c r="AD40" s="6"/>
      <c r="AE40" s="5">
        <v>46096</v>
      </c>
      <c r="AF40" s="3"/>
      <c r="AG40" s="3"/>
      <c r="AH40" s="3"/>
      <c r="AI40" s="3"/>
      <c r="AJ40" s="3"/>
      <c r="AK40" s="3"/>
      <c r="AL40" s="3">
        <f t="shared" si="7"/>
        <v>0</v>
      </c>
      <c r="AM40" s="3">
        <f t="shared" si="8"/>
        <v>0</v>
      </c>
      <c r="AN40" s="3">
        <f t="shared" si="9"/>
        <v>100</v>
      </c>
      <c r="AO40" s="3">
        <f t="shared" si="10"/>
        <v>100</v>
      </c>
      <c r="AP40" s="3"/>
      <c r="AQ40" s="3"/>
      <c r="AR40" s="3" t="str">
        <f t="shared" si="11"/>
        <v/>
      </c>
      <c r="AS40" s="3"/>
      <c r="AT40" s="3">
        <f t="shared" si="12"/>
        <v>100</v>
      </c>
      <c r="AU40" s="3" t="str">
        <f t="shared" si="13"/>
        <v/>
      </c>
      <c r="AV40" s="3"/>
    </row>
    <row r="41" spans="1:48" ht="69.900000000000006" customHeight="1" x14ac:dyDescent="0.3">
      <c r="A41" s="3" t="s">
        <v>171</v>
      </c>
      <c r="B41" s="3" t="s">
        <v>150</v>
      </c>
      <c r="C41" s="3" t="s">
        <v>172</v>
      </c>
      <c r="D41" s="3"/>
      <c r="E41" s="3" t="s">
        <v>152</v>
      </c>
      <c r="F41" s="3"/>
      <c r="G41" s="3" t="s">
        <v>54</v>
      </c>
      <c r="H41" s="3" t="s">
        <v>70</v>
      </c>
      <c r="I41" s="3" t="s">
        <v>62</v>
      </c>
      <c r="J41" s="3" t="s">
        <v>145</v>
      </c>
      <c r="K41" s="4">
        <v>1207242704</v>
      </c>
      <c r="L41" s="4">
        <v>0</v>
      </c>
      <c r="M41" s="4">
        <v>219361128</v>
      </c>
      <c r="N41" s="4">
        <v>0</v>
      </c>
      <c r="O41" s="4">
        <v>1426603832</v>
      </c>
      <c r="P41" s="4">
        <v>943448256</v>
      </c>
      <c r="Q41" s="5">
        <v>45994</v>
      </c>
      <c r="R41" s="5">
        <v>45590</v>
      </c>
      <c r="S41" s="5">
        <v>45583</v>
      </c>
      <c r="T41" s="5">
        <v>45636</v>
      </c>
      <c r="U41" s="4">
        <v>99.49</v>
      </c>
      <c r="V41" s="4">
        <v>66.13</v>
      </c>
      <c r="W41" s="3"/>
      <c r="X41" s="3"/>
      <c r="Y41" s="5">
        <v>45582</v>
      </c>
      <c r="Z41" s="5">
        <v>45754</v>
      </c>
      <c r="AA41" s="5">
        <v>45762</v>
      </c>
      <c r="AB41" s="5">
        <v>45793</v>
      </c>
      <c r="AC41" s="3"/>
      <c r="AD41" s="6"/>
      <c r="AE41" s="5">
        <v>46096</v>
      </c>
      <c r="AF41" s="3"/>
      <c r="AG41" s="3"/>
      <c r="AH41" s="3"/>
      <c r="AI41" s="3"/>
      <c r="AJ41" s="3"/>
      <c r="AK41" s="3"/>
      <c r="AL41" s="3">
        <f t="shared" si="7"/>
        <v>0</v>
      </c>
      <c r="AM41" s="3">
        <f t="shared" si="8"/>
        <v>0</v>
      </c>
      <c r="AN41" s="3">
        <f t="shared" si="9"/>
        <v>100</v>
      </c>
      <c r="AO41" s="3">
        <f t="shared" si="10"/>
        <v>100</v>
      </c>
      <c r="AP41" s="3"/>
      <c r="AQ41" s="3"/>
      <c r="AR41" s="3" t="str">
        <f t="shared" si="11"/>
        <v/>
      </c>
      <c r="AS41" s="3"/>
      <c r="AT41" s="3">
        <f t="shared" si="12"/>
        <v>100</v>
      </c>
      <c r="AU41" s="3" t="str">
        <f t="shared" si="13"/>
        <v/>
      </c>
      <c r="AV41" s="3"/>
    </row>
    <row r="42" spans="1:48" ht="69.900000000000006" customHeight="1" x14ac:dyDescent="0.3">
      <c r="A42" s="3" t="s">
        <v>173</v>
      </c>
      <c r="B42" s="3" t="s">
        <v>150</v>
      </c>
      <c r="C42" s="3" t="s">
        <v>174</v>
      </c>
      <c r="D42" s="3"/>
      <c r="E42" s="3" t="s">
        <v>152</v>
      </c>
      <c r="F42" s="3"/>
      <c r="G42" s="3" t="s">
        <v>54</v>
      </c>
      <c r="H42" s="3" t="s">
        <v>70</v>
      </c>
      <c r="I42" s="3" t="s">
        <v>62</v>
      </c>
      <c r="J42" s="3" t="s">
        <v>76</v>
      </c>
      <c r="K42" s="4">
        <v>7025611116</v>
      </c>
      <c r="L42" s="4">
        <v>0</v>
      </c>
      <c r="M42" s="4">
        <v>633276980</v>
      </c>
      <c r="N42" s="4">
        <v>0</v>
      </c>
      <c r="O42" s="4">
        <v>7658888096</v>
      </c>
      <c r="P42" s="4">
        <v>2514313794.6999998</v>
      </c>
      <c r="Q42" s="5">
        <v>46076</v>
      </c>
      <c r="R42" s="5">
        <v>45674</v>
      </c>
      <c r="S42" s="5">
        <v>45649</v>
      </c>
      <c r="T42" s="5">
        <v>45649</v>
      </c>
      <c r="U42" s="4">
        <v>35.17</v>
      </c>
      <c r="V42" s="4">
        <v>32.83</v>
      </c>
      <c r="W42" s="3"/>
      <c r="X42" s="3"/>
      <c r="Y42" s="5">
        <v>45649</v>
      </c>
      <c r="Z42" s="5"/>
      <c r="AA42" s="5">
        <v>45813</v>
      </c>
      <c r="AB42" s="5">
        <v>45869</v>
      </c>
      <c r="AC42" s="3"/>
      <c r="AD42" s="6"/>
      <c r="AE42" s="5">
        <v>46096</v>
      </c>
      <c r="AF42" s="3"/>
      <c r="AG42" s="3"/>
      <c r="AH42" s="3"/>
      <c r="AI42" s="3"/>
      <c r="AJ42" s="3"/>
      <c r="AK42" s="3"/>
      <c r="AL42" s="3">
        <f t="shared" si="7"/>
        <v>0</v>
      </c>
      <c r="AM42" s="3">
        <f t="shared" si="8"/>
        <v>0</v>
      </c>
      <c r="AN42" s="3">
        <f t="shared" si="9"/>
        <v>100</v>
      </c>
      <c r="AO42" s="3">
        <f t="shared" si="10"/>
        <v>100</v>
      </c>
      <c r="AP42" s="3"/>
      <c r="AQ42" s="3"/>
      <c r="AR42" s="3" t="str">
        <f t="shared" si="11"/>
        <v/>
      </c>
      <c r="AS42" s="3"/>
      <c r="AT42" s="3">
        <f t="shared" si="12"/>
        <v>100</v>
      </c>
      <c r="AU42" s="3" t="str">
        <f t="shared" si="13"/>
        <v/>
      </c>
      <c r="AV42" s="3"/>
    </row>
    <row r="43" spans="1:48" ht="69.900000000000006" customHeight="1" x14ac:dyDescent="0.3">
      <c r="A43" s="3" t="s">
        <v>175</v>
      </c>
      <c r="B43" s="3" t="s">
        <v>65</v>
      </c>
      <c r="C43" s="3" t="s">
        <v>176</v>
      </c>
      <c r="D43" s="3"/>
      <c r="E43" s="3" t="s">
        <v>91</v>
      </c>
      <c r="F43" s="3"/>
      <c r="G43" s="3" t="s">
        <v>177</v>
      </c>
      <c r="H43" s="3"/>
      <c r="I43" s="3"/>
      <c r="J43" s="3" t="s">
        <v>76</v>
      </c>
      <c r="K43" s="4">
        <v>2942601333.2800002</v>
      </c>
      <c r="L43" s="4">
        <v>0</v>
      </c>
      <c r="M43" s="4">
        <v>0</v>
      </c>
      <c r="N43" s="4">
        <v>0</v>
      </c>
      <c r="O43" s="4">
        <v>2942601333.2800002</v>
      </c>
      <c r="P43" s="4">
        <v>0</v>
      </c>
      <c r="Q43" s="5"/>
      <c r="R43" s="5">
        <v>45619</v>
      </c>
      <c r="S43" s="5">
        <v>45616</v>
      </c>
      <c r="T43" s="5">
        <v>45622</v>
      </c>
      <c r="U43" s="4">
        <v>0</v>
      </c>
      <c r="V43" s="4">
        <v>0</v>
      </c>
      <c r="W43" s="3"/>
      <c r="X43" s="3"/>
      <c r="Y43" s="5">
        <v>45615</v>
      </c>
      <c r="Z43" s="5"/>
      <c r="AA43" s="5"/>
      <c r="AB43" s="5"/>
      <c r="AC43" s="3"/>
      <c r="AD43" s="6"/>
      <c r="AE43" s="5">
        <v>46096</v>
      </c>
      <c r="AF43" s="3"/>
      <c r="AG43" s="3"/>
      <c r="AH43" s="3"/>
      <c r="AI43" s="3">
        <v>481</v>
      </c>
      <c r="AJ43" s="3"/>
      <c r="AK43" s="3"/>
      <c r="AL43" s="3" t="str">
        <f t="shared" si="7"/>
        <v/>
      </c>
      <c r="AM43" s="3" t="str">
        <f t="shared" si="8"/>
        <v/>
      </c>
      <c r="AN43" s="3">
        <f t="shared" si="9"/>
        <v>100</v>
      </c>
      <c r="AO43" s="3" t="str">
        <f t="shared" si="10"/>
        <v/>
      </c>
      <c r="AP43" s="3"/>
      <c r="AQ43" s="3">
        <v>0</v>
      </c>
      <c r="AR43" s="3" t="str">
        <f t="shared" si="11"/>
        <v/>
      </c>
      <c r="AS43" s="3"/>
      <c r="AT43" s="3">
        <f t="shared" si="12"/>
        <v>100</v>
      </c>
      <c r="AU43" s="3" t="str">
        <f t="shared" si="13"/>
        <v/>
      </c>
      <c r="AV43" s="3"/>
    </row>
    <row r="44" spans="1:48" ht="69.900000000000006" customHeight="1" x14ac:dyDescent="0.3">
      <c r="A44" s="3" t="s">
        <v>178</v>
      </c>
      <c r="B44" s="3" t="s">
        <v>150</v>
      </c>
      <c r="C44" s="3" t="s">
        <v>179</v>
      </c>
      <c r="D44" s="3"/>
      <c r="E44" s="3" t="s">
        <v>152</v>
      </c>
      <c r="F44" s="3"/>
      <c r="G44" s="3" t="s">
        <v>54</v>
      </c>
      <c r="H44" s="3" t="s">
        <v>115</v>
      </c>
      <c r="I44" s="3" t="s">
        <v>75</v>
      </c>
      <c r="J44" s="3" t="s">
        <v>145</v>
      </c>
      <c r="K44" s="4">
        <v>689677427</v>
      </c>
      <c r="L44" s="4">
        <v>0</v>
      </c>
      <c r="M44" s="4">
        <v>0</v>
      </c>
      <c r="N44" s="4">
        <v>0</v>
      </c>
      <c r="O44" s="4">
        <v>689677427</v>
      </c>
      <c r="P44" s="4">
        <v>193102898.40000001</v>
      </c>
      <c r="Q44" s="5">
        <v>45937</v>
      </c>
      <c r="R44" s="5">
        <v>45634</v>
      </c>
      <c r="S44" s="5">
        <v>45633</v>
      </c>
      <c r="T44" s="5">
        <v>45637</v>
      </c>
      <c r="U44" s="4">
        <v>69.33</v>
      </c>
      <c r="V44" s="4">
        <v>28</v>
      </c>
      <c r="W44" s="3"/>
      <c r="X44" s="3"/>
      <c r="Y44" s="5">
        <v>45632</v>
      </c>
      <c r="Z44" s="5">
        <v>45803</v>
      </c>
      <c r="AA44" s="5">
        <v>45903</v>
      </c>
      <c r="AB44" s="5">
        <v>45911</v>
      </c>
      <c r="AC44" s="3"/>
      <c r="AD44" s="6"/>
      <c r="AE44" s="5">
        <v>46096</v>
      </c>
      <c r="AF44" s="3"/>
      <c r="AG44" s="3"/>
      <c r="AH44" s="3"/>
      <c r="AI44" s="3"/>
      <c r="AJ44" s="3"/>
      <c r="AK44" s="3"/>
      <c r="AL44" s="3">
        <f t="shared" si="7"/>
        <v>0</v>
      </c>
      <c r="AM44" s="3">
        <f t="shared" si="8"/>
        <v>0</v>
      </c>
      <c r="AN44" s="3">
        <f t="shared" si="9"/>
        <v>100</v>
      </c>
      <c r="AO44" s="3">
        <f t="shared" si="10"/>
        <v>100</v>
      </c>
      <c r="AP44" s="3"/>
      <c r="AQ44" s="3"/>
      <c r="AR44" s="3" t="str">
        <f t="shared" si="11"/>
        <v/>
      </c>
      <c r="AS44" s="3"/>
      <c r="AT44" s="3">
        <f t="shared" si="12"/>
        <v>100</v>
      </c>
      <c r="AU44" s="3" t="str">
        <f t="shared" si="13"/>
        <v/>
      </c>
      <c r="AV44" s="3"/>
    </row>
    <row r="45" spans="1:48" ht="69.900000000000006" customHeight="1" x14ac:dyDescent="0.3">
      <c r="A45" s="3" t="s">
        <v>180</v>
      </c>
      <c r="B45" s="3" t="s">
        <v>72</v>
      </c>
      <c r="C45" s="3" t="s">
        <v>181</v>
      </c>
      <c r="D45" s="3"/>
      <c r="E45" s="3" t="s">
        <v>182</v>
      </c>
      <c r="F45" s="3"/>
      <c r="G45" s="3" t="s">
        <v>54</v>
      </c>
      <c r="H45" s="3" t="s">
        <v>70</v>
      </c>
      <c r="I45" s="3" t="s">
        <v>183</v>
      </c>
      <c r="J45" s="3" t="s">
        <v>184</v>
      </c>
      <c r="K45" s="4">
        <v>1135083847</v>
      </c>
      <c r="L45" s="4">
        <v>10000000000</v>
      </c>
      <c r="M45" s="4">
        <v>0</v>
      </c>
      <c r="N45" s="4">
        <v>0</v>
      </c>
      <c r="O45" s="4">
        <v>11135083847</v>
      </c>
      <c r="P45" s="4">
        <v>136010310</v>
      </c>
      <c r="Q45" s="5">
        <v>45939</v>
      </c>
      <c r="R45" s="5">
        <v>45639</v>
      </c>
      <c r="S45" s="5">
        <v>45638</v>
      </c>
      <c r="T45" s="5">
        <v>45649</v>
      </c>
      <c r="U45" s="4">
        <v>1.62</v>
      </c>
      <c r="V45" s="4">
        <v>1.08</v>
      </c>
      <c r="W45" s="3"/>
      <c r="X45" s="3"/>
      <c r="Y45" s="5">
        <v>45637</v>
      </c>
      <c r="Z45" s="5"/>
      <c r="AA45" s="5">
        <v>45856</v>
      </c>
      <c r="AB45" s="5">
        <v>45860</v>
      </c>
      <c r="AC45" s="3"/>
      <c r="AD45" s="6"/>
      <c r="AE45" s="5">
        <v>46096</v>
      </c>
      <c r="AF45" s="3"/>
      <c r="AG45" s="3"/>
      <c r="AH45" s="3"/>
      <c r="AI45" s="3"/>
      <c r="AJ45" s="3"/>
      <c r="AK45" s="3"/>
      <c r="AL45" s="3">
        <f t="shared" si="7"/>
        <v>0</v>
      </c>
      <c r="AM45" s="3">
        <f t="shared" si="8"/>
        <v>0</v>
      </c>
      <c r="AN45" s="3">
        <f t="shared" si="9"/>
        <v>100</v>
      </c>
      <c r="AO45" s="3">
        <f t="shared" si="10"/>
        <v>100</v>
      </c>
      <c r="AP45" s="3"/>
      <c r="AQ45" s="3"/>
      <c r="AR45" s="3" t="str">
        <f t="shared" si="11"/>
        <v/>
      </c>
      <c r="AS45" s="3"/>
      <c r="AT45" s="3">
        <f t="shared" si="12"/>
        <v>100</v>
      </c>
      <c r="AU45" s="3" t="str">
        <f t="shared" si="13"/>
        <v/>
      </c>
      <c r="AV45" s="3"/>
    </row>
    <row r="46" spans="1:48" ht="69.900000000000006" customHeight="1" x14ac:dyDescent="0.3">
      <c r="A46" s="3" t="s">
        <v>185</v>
      </c>
      <c r="B46" s="3" t="s">
        <v>72</v>
      </c>
      <c r="C46" s="3" t="s">
        <v>186</v>
      </c>
      <c r="D46" s="3"/>
      <c r="E46" s="3" t="s">
        <v>125</v>
      </c>
      <c r="F46" s="3"/>
      <c r="G46" s="3" t="s">
        <v>187</v>
      </c>
      <c r="H46" s="3" t="s">
        <v>188</v>
      </c>
      <c r="I46" s="3" t="s">
        <v>102</v>
      </c>
      <c r="J46" s="3" t="s">
        <v>189</v>
      </c>
      <c r="K46" s="4">
        <v>2439637568.0900002</v>
      </c>
      <c r="L46" s="4">
        <v>0</v>
      </c>
      <c r="M46" s="4">
        <v>0</v>
      </c>
      <c r="N46" s="4">
        <v>0</v>
      </c>
      <c r="O46" s="4">
        <v>2439637568.0900002</v>
      </c>
      <c r="P46" s="4">
        <v>0</v>
      </c>
      <c r="Q46" s="5"/>
      <c r="R46" s="5">
        <v>45658</v>
      </c>
      <c r="S46" s="5">
        <v>46017</v>
      </c>
      <c r="T46" s="5">
        <v>45653</v>
      </c>
      <c r="U46" s="4">
        <v>0</v>
      </c>
      <c r="V46" s="4">
        <v>0</v>
      </c>
      <c r="W46" s="3"/>
      <c r="X46" s="3"/>
      <c r="Y46" s="5">
        <v>45650</v>
      </c>
      <c r="Z46" s="5">
        <v>45827</v>
      </c>
      <c r="AA46" s="5">
        <v>45827</v>
      </c>
      <c r="AB46" s="5">
        <v>45827</v>
      </c>
      <c r="AC46" s="3"/>
      <c r="AD46" s="6"/>
      <c r="AE46" s="5">
        <v>46096</v>
      </c>
      <c r="AF46" s="3"/>
      <c r="AG46" s="3"/>
      <c r="AH46" s="3"/>
      <c r="AI46" s="3"/>
      <c r="AJ46" s="3"/>
      <c r="AK46" s="3">
        <v>269</v>
      </c>
      <c r="AL46" s="3" t="str">
        <f t="shared" si="7"/>
        <v/>
      </c>
      <c r="AM46" s="3" t="str">
        <f t="shared" si="8"/>
        <v/>
      </c>
      <c r="AN46" s="3">
        <f t="shared" si="9"/>
        <v>100</v>
      </c>
      <c r="AO46" s="3" t="str">
        <f t="shared" si="10"/>
        <v/>
      </c>
      <c r="AP46" s="3"/>
      <c r="AQ46" s="3">
        <v>0</v>
      </c>
      <c r="AR46" s="3" t="str">
        <f t="shared" si="11"/>
        <v/>
      </c>
      <c r="AS46" s="3"/>
      <c r="AT46" s="3">
        <f t="shared" si="12"/>
        <v>100</v>
      </c>
      <c r="AU46" s="3" t="str">
        <f t="shared" si="13"/>
        <v/>
      </c>
      <c r="AV46" s="3"/>
    </row>
    <row r="47" spans="1:48" ht="69.900000000000006" customHeight="1" x14ac:dyDescent="0.3">
      <c r="A47" s="3" t="s">
        <v>190</v>
      </c>
      <c r="B47" s="3" t="s">
        <v>65</v>
      </c>
      <c r="C47" s="3" t="s">
        <v>191</v>
      </c>
      <c r="D47" s="3"/>
      <c r="E47" s="3" t="s">
        <v>91</v>
      </c>
      <c r="F47" s="3"/>
      <c r="G47" s="3" t="s">
        <v>54</v>
      </c>
      <c r="H47" s="3" t="s">
        <v>70</v>
      </c>
      <c r="I47" s="3" t="s">
        <v>183</v>
      </c>
      <c r="J47" s="3" t="s">
        <v>76</v>
      </c>
      <c r="K47" s="4">
        <v>2653691597.3099999</v>
      </c>
      <c r="L47" s="4">
        <v>0</v>
      </c>
      <c r="M47" s="4">
        <v>929670814</v>
      </c>
      <c r="N47" s="4">
        <v>0</v>
      </c>
      <c r="O47" s="4">
        <v>3583362411.3099999</v>
      </c>
      <c r="P47" s="4">
        <v>1245120287.6600001</v>
      </c>
      <c r="Q47" s="5">
        <v>45986</v>
      </c>
      <c r="R47" s="5">
        <v>45658</v>
      </c>
      <c r="S47" s="5">
        <v>45652</v>
      </c>
      <c r="T47" s="5">
        <v>45653</v>
      </c>
      <c r="U47" s="4">
        <v>41.86</v>
      </c>
      <c r="V47" s="4">
        <v>34.75</v>
      </c>
      <c r="W47" s="3"/>
      <c r="X47" s="3"/>
      <c r="Y47" s="5">
        <v>45650</v>
      </c>
      <c r="Z47" s="5">
        <v>45798</v>
      </c>
      <c r="AA47" s="5">
        <v>45805</v>
      </c>
      <c r="AB47" s="5">
        <v>45960</v>
      </c>
      <c r="AC47" s="3"/>
      <c r="AD47" s="6"/>
      <c r="AE47" s="5">
        <v>46096</v>
      </c>
      <c r="AF47" s="3"/>
      <c r="AG47" s="3"/>
      <c r="AH47" s="3"/>
      <c r="AI47" s="3"/>
      <c r="AJ47" s="3"/>
      <c r="AK47" s="3"/>
      <c r="AL47" s="3">
        <f t="shared" si="7"/>
        <v>0</v>
      </c>
      <c r="AM47" s="3">
        <f t="shared" si="8"/>
        <v>0</v>
      </c>
      <c r="AN47" s="3">
        <f t="shared" si="9"/>
        <v>100</v>
      </c>
      <c r="AO47" s="3">
        <f t="shared" si="10"/>
        <v>100</v>
      </c>
      <c r="AP47" s="3"/>
      <c r="AQ47" s="3"/>
      <c r="AR47" s="3" t="str">
        <f t="shared" si="11"/>
        <v/>
      </c>
      <c r="AS47" s="3"/>
      <c r="AT47" s="3">
        <f t="shared" si="12"/>
        <v>100</v>
      </c>
      <c r="AU47" s="3" t="str">
        <f t="shared" si="13"/>
        <v/>
      </c>
      <c r="AV47" s="3"/>
    </row>
    <row r="48" spans="1:48" ht="69.900000000000006" customHeight="1" x14ac:dyDescent="0.3">
      <c r="A48" s="3" t="s">
        <v>192</v>
      </c>
      <c r="B48" s="3" t="s">
        <v>51</v>
      </c>
      <c r="C48" s="3" t="s">
        <v>193</v>
      </c>
      <c r="D48" s="3"/>
      <c r="E48" s="3" t="s">
        <v>158</v>
      </c>
      <c r="F48" s="3" t="s">
        <v>194</v>
      </c>
      <c r="G48" s="3" t="s">
        <v>54</v>
      </c>
      <c r="H48" s="3" t="s">
        <v>188</v>
      </c>
      <c r="I48" s="3" t="s">
        <v>102</v>
      </c>
      <c r="J48" s="3" t="s">
        <v>195</v>
      </c>
      <c r="K48" s="4">
        <v>15884181916</v>
      </c>
      <c r="L48" s="4">
        <v>0</v>
      </c>
      <c r="M48" s="4">
        <v>0</v>
      </c>
      <c r="N48" s="4">
        <v>0</v>
      </c>
      <c r="O48" s="4">
        <v>15884181916</v>
      </c>
      <c r="P48" s="4">
        <v>6482728135</v>
      </c>
      <c r="Q48" s="5">
        <v>46017</v>
      </c>
      <c r="R48" s="5">
        <v>45893</v>
      </c>
      <c r="S48" s="5">
        <v>45889</v>
      </c>
      <c r="T48" s="5">
        <v>45903</v>
      </c>
      <c r="U48" s="4">
        <v>40.32</v>
      </c>
      <c r="V48" s="4">
        <v>40.81</v>
      </c>
      <c r="W48" s="3"/>
      <c r="X48" s="3"/>
      <c r="Y48" s="5">
        <v>45888</v>
      </c>
      <c r="Z48" s="5">
        <v>45905</v>
      </c>
      <c r="AA48" s="5">
        <v>45929</v>
      </c>
      <c r="AB48" s="5">
        <v>45931</v>
      </c>
      <c r="AC48" s="3"/>
      <c r="AD48" s="6"/>
      <c r="AE48" s="5">
        <v>46096</v>
      </c>
      <c r="AF48" s="3"/>
      <c r="AG48" s="3"/>
      <c r="AH48" s="3"/>
      <c r="AI48" s="3"/>
      <c r="AJ48" s="3"/>
      <c r="AK48" s="3"/>
      <c r="AL48" s="3">
        <f t="shared" si="7"/>
        <v>0</v>
      </c>
      <c r="AM48" s="3">
        <f t="shared" si="8"/>
        <v>0</v>
      </c>
      <c r="AN48" s="3">
        <f t="shared" si="9"/>
        <v>100</v>
      </c>
      <c r="AO48" s="3">
        <f t="shared" si="10"/>
        <v>100</v>
      </c>
      <c r="AP48" s="3"/>
      <c r="AQ48" s="3"/>
      <c r="AR48" s="3" t="str">
        <f t="shared" si="11"/>
        <v/>
      </c>
      <c r="AS48" s="3"/>
      <c r="AT48" s="3">
        <f t="shared" si="12"/>
        <v>100</v>
      </c>
      <c r="AU48" s="3" t="str">
        <f t="shared" si="13"/>
        <v/>
      </c>
      <c r="AV48" s="3"/>
    </row>
    <row r="49" spans="1:48" ht="69.900000000000006" customHeight="1" x14ac:dyDescent="0.3">
      <c r="A49" s="3" t="s">
        <v>196</v>
      </c>
      <c r="B49" s="3" t="s">
        <v>72</v>
      </c>
      <c r="C49" s="3" t="s">
        <v>197</v>
      </c>
      <c r="D49" s="3"/>
      <c r="E49" s="3" t="s">
        <v>74</v>
      </c>
      <c r="F49" s="3"/>
      <c r="G49" s="3" t="s">
        <v>187</v>
      </c>
      <c r="H49" s="3" t="s">
        <v>188</v>
      </c>
      <c r="I49" s="3" t="s">
        <v>183</v>
      </c>
      <c r="J49" s="3" t="s">
        <v>105</v>
      </c>
      <c r="K49" s="4">
        <v>79715601771.679993</v>
      </c>
      <c r="L49" s="4">
        <v>0</v>
      </c>
      <c r="M49" s="4">
        <v>0</v>
      </c>
      <c r="N49" s="4">
        <v>0</v>
      </c>
      <c r="O49" s="4">
        <v>79715601771.679993</v>
      </c>
      <c r="P49" s="4">
        <v>21675580598.400002</v>
      </c>
      <c r="Q49" s="5">
        <v>46086</v>
      </c>
      <c r="R49" s="5">
        <v>45939</v>
      </c>
      <c r="S49" s="5">
        <v>45934</v>
      </c>
      <c r="T49" s="5">
        <v>45961</v>
      </c>
      <c r="U49" s="4">
        <v>0</v>
      </c>
      <c r="V49" s="4">
        <v>27.19</v>
      </c>
      <c r="W49" s="3"/>
      <c r="X49" s="3"/>
      <c r="Y49" s="5">
        <v>45933</v>
      </c>
      <c r="Z49" s="5"/>
      <c r="AA49" s="5">
        <v>46058</v>
      </c>
      <c r="AB49" s="5"/>
      <c r="AC49" s="3"/>
      <c r="AD49" s="6"/>
      <c r="AE49" s="5">
        <v>46096</v>
      </c>
      <c r="AF49" s="3"/>
      <c r="AG49" s="3"/>
      <c r="AH49" s="3"/>
      <c r="AI49" s="3"/>
      <c r="AJ49" s="3"/>
      <c r="AK49" s="3">
        <v>38</v>
      </c>
      <c r="AL49" s="3" t="str">
        <f t="shared" si="7"/>
        <v/>
      </c>
      <c r="AM49" s="3" t="str">
        <f t="shared" si="8"/>
        <v/>
      </c>
      <c r="AN49" s="3">
        <f t="shared" si="9"/>
        <v>100</v>
      </c>
      <c r="AO49" s="3">
        <f t="shared" si="10"/>
        <v>100</v>
      </c>
      <c r="AP49" s="3"/>
      <c r="AQ49" s="3">
        <v>75.862068965517238</v>
      </c>
      <c r="AR49" s="3" t="str">
        <f t="shared" si="11"/>
        <v/>
      </c>
      <c r="AS49" s="3"/>
      <c r="AT49" s="3">
        <f t="shared" si="12"/>
        <v>100</v>
      </c>
      <c r="AU49" s="3" t="str">
        <f t="shared" si="13"/>
        <v/>
      </c>
      <c r="AV49" s="3"/>
    </row>
    <row r="50" spans="1:48" ht="69.900000000000006" customHeight="1" x14ac:dyDescent="0.3">
      <c r="A50" s="3" t="s">
        <v>198</v>
      </c>
      <c r="B50" s="3" t="s">
        <v>72</v>
      </c>
      <c r="C50" s="3" t="s">
        <v>199</v>
      </c>
      <c r="D50" s="3"/>
      <c r="E50" s="3" t="s">
        <v>155</v>
      </c>
      <c r="F50" s="3"/>
      <c r="G50" s="3" t="s">
        <v>54</v>
      </c>
      <c r="H50" s="3" t="s">
        <v>70</v>
      </c>
      <c r="I50" s="3" t="s">
        <v>96</v>
      </c>
      <c r="J50" s="3" t="s">
        <v>76</v>
      </c>
      <c r="K50" s="4">
        <v>1000000435</v>
      </c>
      <c r="L50" s="4">
        <v>0</v>
      </c>
      <c r="M50" s="4">
        <v>0</v>
      </c>
      <c r="N50" s="4">
        <v>0</v>
      </c>
      <c r="O50" s="4">
        <v>1000000435</v>
      </c>
      <c r="P50" s="4">
        <v>300000130.5</v>
      </c>
      <c r="Q50" s="5">
        <v>46020</v>
      </c>
      <c r="R50" s="5">
        <v>45918</v>
      </c>
      <c r="S50" s="5">
        <v>45918</v>
      </c>
      <c r="T50" s="5">
        <v>45918</v>
      </c>
      <c r="U50" s="4">
        <v>22.26</v>
      </c>
      <c r="V50" s="4">
        <v>30</v>
      </c>
      <c r="W50" s="3"/>
      <c r="X50" s="3"/>
      <c r="Y50" s="5">
        <v>45912</v>
      </c>
      <c r="Z50" s="5">
        <v>45981</v>
      </c>
      <c r="AA50" s="5">
        <v>46008</v>
      </c>
      <c r="AB50" s="5">
        <v>46009</v>
      </c>
      <c r="AC50" s="3"/>
      <c r="AD50" s="6"/>
      <c r="AE50" s="5">
        <v>46096</v>
      </c>
      <c r="AF50" s="3"/>
      <c r="AG50" s="3"/>
      <c r="AH50" s="3"/>
      <c r="AI50" s="3"/>
      <c r="AJ50" s="3"/>
      <c r="AK50" s="3"/>
      <c r="AL50" s="3">
        <f t="shared" si="7"/>
        <v>0</v>
      </c>
      <c r="AM50" s="3">
        <f t="shared" si="8"/>
        <v>0</v>
      </c>
      <c r="AN50" s="3">
        <f t="shared" si="9"/>
        <v>100</v>
      </c>
      <c r="AO50" s="3">
        <f t="shared" si="10"/>
        <v>100</v>
      </c>
      <c r="AP50" s="3"/>
      <c r="AQ50" s="3"/>
      <c r="AR50" s="3" t="str">
        <f t="shared" si="11"/>
        <v/>
      </c>
      <c r="AS50" s="3"/>
      <c r="AT50" s="3">
        <f t="shared" si="12"/>
        <v>100</v>
      </c>
      <c r="AU50" s="3" t="str">
        <f t="shared" si="13"/>
        <v/>
      </c>
      <c r="AV50" s="3"/>
    </row>
    <row r="51" spans="1:48" ht="69.900000000000006" customHeight="1" x14ac:dyDescent="0.3">
      <c r="A51" s="3" t="s">
        <v>200</v>
      </c>
      <c r="B51" s="3" t="s">
        <v>72</v>
      </c>
      <c r="C51" s="3" t="s">
        <v>201</v>
      </c>
      <c r="D51" s="3"/>
      <c r="E51" s="3" t="s">
        <v>158</v>
      </c>
      <c r="F51" s="3" t="s">
        <v>202</v>
      </c>
      <c r="G51" s="3" t="s">
        <v>177</v>
      </c>
      <c r="H51" s="3"/>
      <c r="I51" s="3"/>
      <c r="J51" s="3" t="s">
        <v>165</v>
      </c>
      <c r="K51" s="4">
        <v>910271851.27999997</v>
      </c>
      <c r="L51" s="4">
        <v>0</v>
      </c>
      <c r="M51" s="4">
        <v>0</v>
      </c>
      <c r="N51" s="4">
        <v>0</v>
      </c>
      <c r="O51" s="4">
        <v>910271851.27999997</v>
      </c>
      <c r="P51" s="4">
        <v>0</v>
      </c>
      <c r="Q51" s="5"/>
      <c r="R51" s="5">
        <v>46002</v>
      </c>
      <c r="S51" s="5">
        <v>46009</v>
      </c>
      <c r="T51" s="5"/>
      <c r="U51" s="4">
        <v>0</v>
      </c>
      <c r="V51" s="4">
        <v>0</v>
      </c>
      <c r="W51" s="3"/>
      <c r="X51" s="3"/>
      <c r="Y51" s="5">
        <v>46000</v>
      </c>
      <c r="Z51" s="5"/>
      <c r="AA51" s="5"/>
      <c r="AB51" s="5"/>
      <c r="AC51" s="3"/>
      <c r="AD51" s="6"/>
      <c r="AE51" s="5">
        <v>46096</v>
      </c>
      <c r="AF51" s="3"/>
      <c r="AG51" s="3"/>
      <c r="AH51" s="3"/>
      <c r="AI51" s="3">
        <v>96</v>
      </c>
      <c r="AJ51" s="3"/>
      <c r="AK51" s="3"/>
      <c r="AL51" s="3" t="str">
        <f t="shared" si="7"/>
        <v/>
      </c>
      <c r="AM51" s="3" t="str">
        <f t="shared" si="8"/>
        <v/>
      </c>
      <c r="AN51" s="3">
        <f t="shared" si="9"/>
        <v>100</v>
      </c>
      <c r="AO51" s="3" t="str">
        <f t="shared" si="10"/>
        <v/>
      </c>
      <c r="AP51" s="3"/>
      <c r="AQ51" s="3">
        <v>100</v>
      </c>
      <c r="AR51" s="3" t="str">
        <f t="shared" si="11"/>
        <v/>
      </c>
      <c r="AS51" s="3"/>
      <c r="AT51" s="3">
        <f t="shared" si="12"/>
        <v>100</v>
      </c>
      <c r="AU51" s="3" t="str">
        <f t="shared" si="13"/>
        <v/>
      </c>
      <c r="AV51" s="3"/>
    </row>
    <row r="52" spans="1:48" ht="69.900000000000006" customHeight="1" x14ac:dyDescent="0.3">
      <c r="A52" s="3" t="s">
        <v>203</v>
      </c>
      <c r="B52" s="3" t="s">
        <v>72</v>
      </c>
      <c r="C52" s="3" t="s">
        <v>204</v>
      </c>
      <c r="D52" s="3"/>
      <c r="E52" s="3" t="s">
        <v>74</v>
      </c>
      <c r="F52" s="3"/>
      <c r="G52" s="3" t="s">
        <v>177</v>
      </c>
      <c r="H52" s="3"/>
      <c r="I52" s="3"/>
      <c r="J52" s="3"/>
      <c r="K52" s="4">
        <v>9230360486</v>
      </c>
      <c r="L52" s="4">
        <v>0</v>
      </c>
      <c r="M52" s="4">
        <v>0</v>
      </c>
      <c r="N52" s="4">
        <v>0</v>
      </c>
      <c r="O52" s="4">
        <v>9230360486</v>
      </c>
      <c r="P52" s="4">
        <v>0</v>
      </c>
      <c r="Q52" s="5"/>
      <c r="R52" s="5"/>
      <c r="S52" s="5"/>
      <c r="T52" s="5"/>
      <c r="U52" s="4">
        <v>0</v>
      </c>
      <c r="V52" s="4">
        <v>0</v>
      </c>
      <c r="W52" s="3"/>
      <c r="X52" s="3"/>
      <c r="Y52" s="5">
        <v>46080</v>
      </c>
      <c r="Z52" s="5"/>
      <c r="AA52" s="5"/>
      <c r="AB52" s="5"/>
      <c r="AC52" s="3"/>
      <c r="AD52" s="6"/>
      <c r="AE52" s="5">
        <v>46096</v>
      </c>
      <c r="AF52" s="3"/>
      <c r="AG52" s="3"/>
      <c r="AH52" s="3"/>
      <c r="AI52" s="3">
        <v>16</v>
      </c>
      <c r="AJ52" s="3"/>
      <c r="AK52" s="3"/>
      <c r="AL52" s="3" t="str">
        <f t="shared" si="7"/>
        <v/>
      </c>
      <c r="AM52" s="3" t="str">
        <f t="shared" si="8"/>
        <v/>
      </c>
      <c r="AN52" s="3">
        <f t="shared" si="9"/>
        <v>100</v>
      </c>
      <c r="AO52" s="3" t="str">
        <f t="shared" si="10"/>
        <v/>
      </c>
      <c r="AP52" s="3"/>
      <c r="AQ52" s="3">
        <v>100</v>
      </c>
      <c r="AR52" s="3" t="str">
        <f t="shared" si="11"/>
        <v/>
      </c>
      <c r="AS52" s="3"/>
      <c r="AT52" s="3">
        <f t="shared" si="12"/>
        <v>100</v>
      </c>
      <c r="AU52" s="3" t="str">
        <f t="shared" si="13"/>
        <v/>
      </c>
      <c r="AV52" s="3"/>
    </row>
    <row r="53" spans="1:48" ht="69.900000000000006" customHeight="1" x14ac:dyDescent="0.3">
      <c r="A53" s="3" t="s">
        <v>205</v>
      </c>
      <c r="B53" s="3" t="s">
        <v>150</v>
      </c>
      <c r="C53" s="3" t="s">
        <v>206</v>
      </c>
      <c r="D53" s="3"/>
      <c r="E53" s="3" t="s">
        <v>152</v>
      </c>
      <c r="F53" s="3"/>
      <c r="G53" s="3" t="s">
        <v>177</v>
      </c>
      <c r="H53" s="3"/>
      <c r="I53" s="3"/>
      <c r="J53" s="3" t="s">
        <v>76</v>
      </c>
      <c r="K53" s="4">
        <v>1265672010</v>
      </c>
      <c r="L53" s="4">
        <v>0</v>
      </c>
      <c r="M53" s="4">
        <v>0</v>
      </c>
      <c r="N53" s="4">
        <v>0</v>
      </c>
      <c r="O53" s="4">
        <v>1265672010</v>
      </c>
      <c r="P53" s="4">
        <v>0</v>
      </c>
      <c r="Q53" s="5"/>
      <c r="R53" s="5">
        <v>45973</v>
      </c>
      <c r="S53" s="5">
        <v>45979</v>
      </c>
      <c r="T53" s="5">
        <v>45975</v>
      </c>
      <c r="U53" s="4">
        <v>0</v>
      </c>
      <c r="V53" s="4">
        <v>0</v>
      </c>
      <c r="W53" s="3"/>
      <c r="X53" s="3"/>
      <c r="Y53" s="5">
        <v>45967</v>
      </c>
      <c r="Z53" s="5"/>
      <c r="AA53" s="5"/>
      <c r="AB53" s="5"/>
      <c r="AC53" s="3"/>
      <c r="AD53" s="6"/>
      <c r="AE53" s="5">
        <v>46096</v>
      </c>
      <c r="AF53" s="3"/>
      <c r="AG53" s="3"/>
      <c r="AH53" s="3"/>
      <c r="AI53" s="3">
        <v>129</v>
      </c>
      <c r="AJ53" s="3"/>
      <c r="AK53" s="3"/>
      <c r="AL53" s="3" t="str">
        <f t="shared" si="7"/>
        <v/>
      </c>
      <c r="AM53" s="3" t="str">
        <f t="shared" si="8"/>
        <v/>
      </c>
      <c r="AN53" s="3">
        <f t="shared" si="9"/>
        <v>100</v>
      </c>
      <c r="AO53" s="3" t="str">
        <f t="shared" si="10"/>
        <v/>
      </c>
      <c r="AP53" s="3"/>
      <c r="AQ53" s="3">
        <v>100</v>
      </c>
      <c r="AR53" s="3" t="str">
        <f t="shared" si="11"/>
        <v/>
      </c>
      <c r="AS53" s="3"/>
      <c r="AT53" s="3">
        <f t="shared" si="12"/>
        <v>100</v>
      </c>
      <c r="AU53" s="3" t="str">
        <f t="shared" si="13"/>
        <v/>
      </c>
      <c r="AV53" s="3"/>
    </row>
    <row r="54" spans="1:48" ht="69.900000000000006" customHeight="1" x14ac:dyDescent="0.3">
      <c r="A54" s="3" t="s">
        <v>207</v>
      </c>
      <c r="B54" s="3" t="s">
        <v>150</v>
      </c>
      <c r="C54" s="3" t="s">
        <v>208</v>
      </c>
      <c r="D54" s="3"/>
      <c r="E54" s="3" t="s">
        <v>152</v>
      </c>
      <c r="F54" s="3" t="s">
        <v>209</v>
      </c>
      <c r="G54" s="3" t="s">
        <v>187</v>
      </c>
      <c r="H54" s="3" t="s">
        <v>188</v>
      </c>
      <c r="I54" s="3" t="s">
        <v>183</v>
      </c>
      <c r="J54" s="3" t="s">
        <v>210</v>
      </c>
      <c r="K54" s="4">
        <v>1631281390</v>
      </c>
      <c r="L54" s="4">
        <v>0</v>
      </c>
      <c r="M54" s="4">
        <v>41120776</v>
      </c>
      <c r="N54" s="4">
        <v>0</v>
      </c>
      <c r="O54" s="4">
        <v>1672402166</v>
      </c>
      <c r="P54" s="4">
        <v>0</v>
      </c>
      <c r="Q54" s="5"/>
      <c r="R54" s="5">
        <v>45971</v>
      </c>
      <c r="S54" s="5">
        <v>46009</v>
      </c>
      <c r="T54" s="5">
        <v>45975</v>
      </c>
      <c r="U54" s="4">
        <v>0</v>
      </c>
      <c r="V54" s="4">
        <v>0</v>
      </c>
      <c r="W54" s="3"/>
      <c r="X54" s="3"/>
      <c r="Y54" s="5">
        <v>45957</v>
      </c>
      <c r="Z54" s="5"/>
      <c r="AA54" s="5">
        <v>46057</v>
      </c>
      <c r="AB54" s="5"/>
      <c r="AC54" s="3"/>
      <c r="AD54" s="6"/>
      <c r="AE54" s="5">
        <v>46096</v>
      </c>
      <c r="AF54" s="3"/>
      <c r="AG54" s="3"/>
      <c r="AH54" s="3"/>
      <c r="AI54" s="3"/>
      <c r="AJ54" s="3"/>
      <c r="AK54" s="3">
        <v>39</v>
      </c>
      <c r="AL54" s="3" t="str">
        <f t="shared" si="7"/>
        <v/>
      </c>
      <c r="AM54" s="3" t="str">
        <f t="shared" si="8"/>
        <v/>
      </c>
      <c r="AN54" s="3">
        <f t="shared" si="9"/>
        <v>100</v>
      </c>
      <c r="AO54" s="3" t="str">
        <f t="shared" si="10"/>
        <v/>
      </c>
      <c r="AP54" s="3"/>
      <c r="AQ54" s="3">
        <v>72.41379310344827</v>
      </c>
      <c r="AR54" s="3" t="str">
        <f t="shared" si="11"/>
        <v/>
      </c>
      <c r="AS54" s="3"/>
      <c r="AT54" s="3">
        <f t="shared" si="12"/>
        <v>100</v>
      </c>
      <c r="AU54" s="3" t="str">
        <f t="shared" si="13"/>
        <v/>
      </c>
      <c r="AV54" s="3"/>
    </row>
    <row r="55" spans="1:48" ht="69.900000000000006" customHeight="1" x14ac:dyDescent="0.3">
      <c r="A55" s="3" t="s">
        <v>211</v>
      </c>
      <c r="B55" s="3" t="s">
        <v>72</v>
      </c>
      <c r="C55" s="3" t="s">
        <v>212</v>
      </c>
      <c r="D55" s="3"/>
      <c r="E55" s="3" t="s">
        <v>158</v>
      </c>
      <c r="F55" s="3" t="s">
        <v>213</v>
      </c>
      <c r="G55" s="3" t="s">
        <v>177</v>
      </c>
      <c r="H55" s="3"/>
      <c r="I55" s="3"/>
      <c r="J55" s="3" t="s">
        <v>214</v>
      </c>
      <c r="K55" s="4">
        <v>2998247290</v>
      </c>
      <c r="L55" s="4">
        <v>0</v>
      </c>
      <c r="M55" s="4">
        <v>0</v>
      </c>
      <c r="N55" s="4">
        <v>0</v>
      </c>
      <c r="O55" s="4">
        <v>2998247290</v>
      </c>
      <c r="P55" s="4">
        <v>0</v>
      </c>
      <c r="Q55" s="5"/>
      <c r="R55" s="5">
        <v>45985</v>
      </c>
      <c r="S55" s="5">
        <v>45983</v>
      </c>
      <c r="T55" s="5">
        <v>45995</v>
      </c>
      <c r="U55" s="4">
        <v>0</v>
      </c>
      <c r="V55" s="4">
        <v>0</v>
      </c>
      <c r="W55" s="3"/>
      <c r="X55" s="3"/>
      <c r="Y55" s="5">
        <v>45980</v>
      </c>
      <c r="Z55" s="5"/>
      <c r="AA55" s="5"/>
      <c r="AB55" s="5"/>
      <c r="AC55" s="3"/>
      <c r="AD55" s="6"/>
      <c r="AE55" s="5">
        <v>46096</v>
      </c>
      <c r="AF55" s="3"/>
      <c r="AG55" s="3"/>
      <c r="AH55" s="3"/>
      <c r="AI55" s="3">
        <v>116</v>
      </c>
      <c r="AJ55" s="3"/>
      <c r="AK55" s="3"/>
      <c r="AL55" s="3" t="str">
        <f t="shared" si="7"/>
        <v/>
      </c>
      <c r="AM55" s="3" t="str">
        <f t="shared" si="8"/>
        <v/>
      </c>
      <c r="AN55" s="3">
        <f t="shared" si="9"/>
        <v>100</v>
      </c>
      <c r="AO55" s="3" t="str">
        <f t="shared" si="10"/>
        <v/>
      </c>
      <c r="AP55" s="3"/>
      <c r="AQ55" s="3">
        <v>100</v>
      </c>
      <c r="AR55" s="3" t="str">
        <f t="shared" si="11"/>
        <v/>
      </c>
      <c r="AS55" s="3"/>
      <c r="AT55" s="3">
        <f t="shared" si="12"/>
        <v>100</v>
      </c>
      <c r="AU55" s="3" t="str">
        <f t="shared" si="13"/>
        <v/>
      </c>
      <c r="AV55" s="3"/>
    </row>
    <row r="56" spans="1:48" ht="69.900000000000006" customHeight="1" x14ac:dyDescent="0.3">
      <c r="A56" s="3" t="s">
        <v>215</v>
      </c>
      <c r="B56" s="3" t="s">
        <v>72</v>
      </c>
      <c r="C56" s="3" t="s">
        <v>216</v>
      </c>
      <c r="D56" s="3"/>
      <c r="E56" s="3" t="s">
        <v>125</v>
      </c>
      <c r="F56" s="3" t="s">
        <v>217</v>
      </c>
      <c r="G56" s="3" t="s">
        <v>177</v>
      </c>
      <c r="H56" s="3"/>
      <c r="I56" s="3"/>
      <c r="J56" s="3" t="s">
        <v>214</v>
      </c>
      <c r="K56" s="4">
        <v>4190286255</v>
      </c>
      <c r="L56" s="4">
        <v>0</v>
      </c>
      <c r="M56" s="4">
        <v>0</v>
      </c>
      <c r="N56" s="4">
        <v>0</v>
      </c>
      <c r="O56" s="4">
        <v>4190286255</v>
      </c>
      <c r="P56" s="4">
        <v>0</v>
      </c>
      <c r="Q56" s="5"/>
      <c r="R56" s="5">
        <v>0</v>
      </c>
      <c r="S56" s="5">
        <v>0</v>
      </c>
      <c r="T56" s="5"/>
      <c r="U56" s="4">
        <v>0</v>
      </c>
      <c r="V56" s="4">
        <v>0</v>
      </c>
      <c r="W56" s="3"/>
      <c r="X56" s="3"/>
      <c r="Y56" s="5">
        <v>46010</v>
      </c>
      <c r="Z56" s="5"/>
      <c r="AA56" s="5"/>
      <c r="AB56" s="5"/>
      <c r="AC56" s="3"/>
      <c r="AD56" s="6"/>
      <c r="AE56" s="5">
        <v>46096</v>
      </c>
      <c r="AF56" s="3"/>
      <c r="AG56" s="3"/>
      <c r="AH56" s="3"/>
      <c r="AI56" s="3">
        <v>86</v>
      </c>
      <c r="AJ56" s="3"/>
      <c r="AK56" s="3"/>
      <c r="AL56" s="3" t="str">
        <f t="shared" si="7"/>
        <v/>
      </c>
      <c r="AM56" s="3" t="str">
        <f t="shared" si="8"/>
        <v/>
      </c>
      <c r="AN56" s="3">
        <f t="shared" si="9"/>
        <v>100</v>
      </c>
      <c r="AO56" s="3" t="str">
        <f t="shared" si="10"/>
        <v/>
      </c>
      <c r="AP56" s="3"/>
      <c r="AQ56" s="3">
        <v>100</v>
      </c>
      <c r="AR56" s="3" t="str">
        <f t="shared" si="11"/>
        <v/>
      </c>
      <c r="AS56" s="3"/>
      <c r="AT56" s="3">
        <f t="shared" si="12"/>
        <v>100</v>
      </c>
      <c r="AU56" s="3" t="str">
        <f t="shared" si="13"/>
        <v/>
      </c>
      <c r="AV56" s="3"/>
    </row>
    <row r="57" spans="1:48" ht="69.900000000000006" customHeight="1" x14ac:dyDescent="0.3">
      <c r="A57" s="3" t="s">
        <v>218</v>
      </c>
      <c r="B57" s="3" t="s">
        <v>72</v>
      </c>
      <c r="C57" s="3" t="s">
        <v>219</v>
      </c>
      <c r="D57" s="3"/>
      <c r="E57" s="3" t="s">
        <v>74</v>
      </c>
      <c r="F57" s="3"/>
      <c r="G57" s="3" t="s">
        <v>177</v>
      </c>
      <c r="H57" s="3"/>
      <c r="I57" s="3"/>
      <c r="J57" s="3"/>
      <c r="K57" s="4">
        <v>15410127474</v>
      </c>
      <c r="L57" s="4">
        <v>0</v>
      </c>
      <c r="M57" s="4">
        <v>0</v>
      </c>
      <c r="N57" s="4">
        <v>0</v>
      </c>
      <c r="O57" s="4">
        <v>15410127474</v>
      </c>
      <c r="P57" s="4">
        <v>0</v>
      </c>
      <c r="Q57" s="5"/>
      <c r="R57" s="5"/>
      <c r="S57" s="5"/>
      <c r="T57" s="5"/>
      <c r="U57" s="4">
        <v>0</v>
      </c>
      <c r="V57" s="4">
        <v>0</v>
      </c>
      <c r="W57" s="3"/>
      <c r="X57" s="3"/>
      <c r="Y57" s="5">
        <v>46080</v>
      </c>
      <c r="Z57" s="5"/>
      <c r="AA57" s="5"/>
      <c r="AB57" s="5"/>
      <c r="AC57" s="3"/>
      <c r="AD57" s="6"/>
      <c r="AE57" s="5">
        <v>46096</v>
      </c>
      <c r="AF57" s="3"/>
      <c r="AG57" s="3"/>
      <c r="AH57" s="3"/>
      <c r="AI57" s="3">
        <v>16</v>
      </c>
      <c r="AJ57" s="3"/>
      <c r="AK57" s="3"/>
      <c r="AL57" s="3" t="str">
        <f t="shared" si="7"/>
        <v/>
      </c>
      <c r="AM57" s="3" t="str">
        <f t="shared" si="8"/>
        <v/>
      </c>
      <c r="AN57" s="3">
        <f t="shared" si="9"/>
        <v>100</v>
      </c>
      <c r="AO57" s="3" t="str">
        <f t="shared" si="10"/>
        <v/>
      </c>
      <c r="AP57" s="3"/>
      <c r="AQ57" s="3">
        <v>100</v>
      </c>
      <c r="AR57" s="3" t="str">
        <f t="shared" si="11"/>
        <v/>
      </c>
      <c r="AS57" s="3"/>
      <c r="AT57" s="3">
        <f t="shared" si="12"/>
        <v>100</v>
      </c>
      <c r="AU57" s="3" t="str">
        <f t="shared" si="13"/>
        <v/>
      </c>
      <c r="AV57" s="3"/>
    </row>
  </sheetData>
  <mergeCells count="3">
    <mergeCell ref="A1:T1"/>
    <mergeCell ref="U1:AP1"/>
    <mergeCell ref="AQ1:AV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7"/>
  <sheetViews>
    <sheetView workbookViewId="0"/>
  </sheetViews>
  <sheetFormatPr baseColWidth="10" defaultColWidth="9.109375" defaultRowHeight="14.4" x14ac:dyDescent="0.3"/>
  <cols>
    <col min="1" max="28" width="25.6640625" customWidth="1"/>
    <col min="29" max="29" width="25.6640625" hidden="1" customWidth="1"/>
    <col min="30" max="34" width="25.6640625" customWidth="1"/>
    <col min="35" max="35" width="25.6640625" hidden="1" customWidth="1"/>
    <col min="36" max="37" width="25.6640625" customWidth="1"/>
  </cols>
  <sheetData>
    <row r="1" spans="1:37" ht="39.9" customHeight="1" x14ac:dyDescent="0.3">
      <c r="A1" s="8" t="s">
        <v>0</v>
      </c>
      <c r="B1" s="8"/>
      <c r="C1" s="8"/>
      <c r="D1" s="8"/>
      <c r="E1" s="8"/>
      <c r="F1" s="8"/>
      <c r="G1" s="8"/>
      <c r="H1" s="8"/>
      <c r="I1" s="8"/>
      <c r="J1" s="8"/>
      <c r="K1" s="8"/>
      <c r="L1" s="8"/>
      <c r="M1" s="8"/>
      <c r="N1" s="8"/>
      <c r="O1" s="9" t="s">
        <v>1</v>
      </c>
      <c r="P1" s="9"/>
      <c r="Q1" s="9"/>
      <c r="R1" s="9"/>
      <c r="S1" s="9"/>
      <c r="T1" s="9"/>
      <c r="U1" s="9"/>
      <c r="V1" s="9"/>
      <c r="W1" s="9"/>
      <c r="X1" s="9"/>
      <c r="Y1" s="9"/>
      <c r="Z1" s="9"/>
      <c r="AA1" s="9"/>
      <c r="AB1" s="9"/>
      <c r="AC1" s="9"/>
      <c r="AD1" s="9"/>
      <c r="AE1" s="9"/>
      <c r="AF1" s="8" t="s">
        <v>2</v>
      </c>
      <c r="AG1" s="8"/>
      <c r="AH1" s="8"/>
      <c r="AI1" s="8"/>
      <c r="AJ1" s="8"/>
      <c r="AK1" s="8"/>
    </row>
    <row r="2" spans="1:37" ht="69.900000000000006" customHeight="1" x14ac:dyDescent="0.3">
      <c r="A2" s="1" t="s">
        <v>3</v>
      </c>
      <c r="B2" s="1" t="s">
        <v>220</v>
      </c>
      <c r="C2" s="1" t="s">
        <v>221</v>
      </c>
      <c r="D2" s="1" t="s">
        <v>222</v>
      </c>
      <c r="E2" s="1" t="s">
        <v>7</v>
      </c>
      <c r="F2" s="1" t="s">
        <v>223</v>
      </c>
      <c r="G2" s="1" t="s">
        <v>9</v>
      </c>
      <c r="H2" s="1" t="s">
        <v>10</v>
      </c>
      <c r="I2" s="1" t="s">
        <v>13</v>
      </c>
      <c r="J2" s="1" t="s">
        <v>224</v>
      </c>
      <c r="K2" s="1" t="s">
        <v>225</v>
      </c>
      <c r="L2" s="1" t="s">
        <v>20</v>
      </c>
      <c r="M2" s="1" t="s">
        <v>21</v>
      </c>
      <c r="N2" s="1" t="s">
        <v>226</v>
      </c>
      <c r="O2" s="2" t="s">
        <v>227</v>
      </c>
      <c r="P2" s="2" t="s">
        <v>24</v>
      </c>
      <c r="Q2" s="2" t="s">
        <v>228</v>
      </c>
      <c r="R2" s="2" t="s">
        <v>229</v>
      </c>
      <c r="S2" s="2" t="s">
        <v>27</v>
      </c>
      <c r="T2" s="2" t="s">
        <v>28</v>
      </c>
      <c r="U2" s="2" t="s">
        <v>29</v>
      </c>
      <c r="V2" s="2" t="s">
        <v>30</v>
      </c>
      <c r="W2" s="2" t="s">
        <v>33</v>
      </c>
      <c r="X2" s="2" t="s">
        <v>37</v>
      </c>
      <c r="Y2" s="2" t="s">
        <v>38</v>
      </c>
      <c r="Z2" s="2" t="s">
        <v>39</v>
      </c>
      <c r="AA2" s="2" t="s">
        <v>40</v>
      </c>
      <c r="AB2" s="2" t="s">
        <v>41</v>
      </c>
      <c r="AC2" s="2" t="s">
        <v>42</v>
      </c>
      <c r="AD2" s="2" t="s">
        <v>43</v>
      </c>
      <c r="AE2" s="2" t="s">
        <v>44</v>
      </c>
      <c r="AF2" s="1" t="s">
        <v>45</v>
      </c>
      <c r="AG2" s="1" t="s">
        <v>46</v>
      </c>
      <c r="AH2" s="1" t="s">
        <v>47</v>
      </c>
      <c r="AI2" s="1" t="s">
        <v>48</v>
      </c>
      <c r="AJ2" s="1" t="s">
        <v>49</v>
      </c>
      <c r="AK2" s="1" t="s">
        <v>50</v>
      </c>
    </row>
    <row r="3" spans="1:37" ht="69.900000000000006" customHeight="1" x14ac:dyDescent="0.3">
      <c r="A3" s="3" t="s">
        <v>230</v>
      </c>
      <c r="B3" s="3" t="s">
        <v>231</v>
      </c>
      <c r="C3" s="3" t="s">
        <v>232</v>
      </c>
      <c r="D3" s="3" t="s">
        <v>233</v>
      </c>
      <c r="E3" s="3" t="s">
        <v>155</v>
      </c>
      <c r="F3" s="3" t="s">
        <v>234</v>
      </c>
      <c r="G3" s="3" t="s">
        <v>67</v>
      </c>
      <c r="H3" s="3"/>
      <c r="I3" s="4">
        <v>2006938345.6700001</v>
      </c>
      <c r="J3" s="4">
        <v>398005572.76999998</v>
      </c>
      <c r="K3" s="4">
        <v>2404943918.4400001</v>
      </c>
      <c r="L3" s="5"/>
      <c r="M3" s="5"/>
      <c r="N3" s="5"/>
      <c r="O3" s="4"/>
      <c r="P3" s="4"/>
      <c r="Q3" s="3"/>
      <c r="R3" s="3"/>
      <c r="S3" s="5"/>
      <c r="T3" s="5"/>
      <c r="U3" s="5"/>
      <c r="V3" s="5"/>
      <c r="W3" s="5">
        <v>46096</v>
      </c>
      <c r="X3" s="3"/>
      <c r="Y3" s="3"/>
      <c r="Z3" s="3"/>
      <c r="AA3" s="3" t="str">
        <f t="shared" ref="AA3:AA17" si="0">IF(AND($R3&gt;1.3,$G3="CONTRATADO EN EJECUCIÓN"),0,IF(AND($R3&gt;1.25,$R3&lt;=1.3,$G3="CONTRATADO EN EJECUCIÓN"),30,IF(AND($R3&gt;1.2,$R3&lt;=1.25,$G3="CONTRATADO EN EJECUCIÓN"),90,IF(AND($R3&gt;=0.84,$R3&lt;1.2,$G3="CONTRATADO EN EJECUCIÓN"),100,IF(AND($R3&gt;=0.38,$R3&lt;0.84,$G3="CONTRATADO EN EJECUCIÓN"),(($R3-0.38)/(0.84-0.38))*100,IF(AND($R3&lt;0.38,$G3="CONTRATADO EN EJECUCIÓN"),0,""))))))</f>
        <v/>
      </c>
      <c r="AB3" s="3" t="str">
        <f t="shared" ref="AB3:AB17" si="1">IF(AND($Q3&gt;1.3,$G3="CONTRATADO EN EJECUCIÓN"),0,IF(AND($Q3&gt;1.25,$Q3&lt;=1.3,$G3="CONTRATADO EN EJECUCIÓN"),30,IF(AND($Q3&gt;1.2,$Q3&lt;=1.25,$G3="CONTRATADO EN EJECUCIÓN"),90,IF(AND($Q3&gt;=0.84,$Q3&lt;1.2,$G3="CONTRATADO EN EJECUCIÓN"),100,IF(AND($Q3&gt;=0.38,$Q3&lt;0.84,$G3="CONTRATADO EN EJECUCIÓN"),(($Q3-0.38)/(0.84-0.38))*100,IF(AND($Q3&lt;0.38,$G3="CONTRATADO EN EJECUCIÓN"),0,""))))))</f>
        <v/>
      </c>
      <c r="AC3" s="3">
        <f t="shared" ref="AC3:AC17" si="2">IF(AND($P3&lt;60,($P3-$O3)&lt;=50),100,IF(AND($P3&lt;60,($P3-$O3)&gt;50),0,IF(AND($P3&gt;=60,$P3&lt;70,($P3-$O3)&lt;=40),100,IF(AND($P3&gt;=60,$P3&lt;70,($P3-$O3)&gt;40),0,IF(AND($P3&gt;=70,$P3&lt;80,($P3-$O3)&lt;=30),100,IF(AND($P3&gt;=70,$P3&lt;80,($P3-$O3)&gt;30),0,IF(AND($P3&gt;=80,$P3&lt;90,($P3-$O3)&lt;=20),100,IF(AND($P3&gt;=80,$P3&lt;90,($P3-$O3)&gt;20),0,IF(AND($P3&gt;=90,$P3&lt;=100,($P3-$O3)&lt;=10),100,IF(AND($P3&gt;=90,$P3&lt;=100,($P3-$O3)&gt;10),0,""))))))))))</f>
        <v>100</v>
      </c>
      <c r="AD3" s="3" t="str">
        <f t="shared" ref="AD3:AD17" si="3">IF(AND($O3&gt;$P3,$G3="CONTRATADO EN EJECUCIÓN"),100,IF(AND($P3&gt;$O3,($P3-$O3)&gt;50,$G3="CONTRATADO EN EJECUCIÓN"),0,IF(AND($P3&gt;$O3,($P3-$O3)&lt;=50,$P3&lt;=60),100,IF(AND($P3&gt;$O3,($P3-$O3)&lt;=50,$P3&gt;60),$AC3,""))))</f>
        <v/>
      </c>
      <c r="AE3" s="3"/>
      <c r="AF3" s="3"/>
      <c r="AG3" s="3"/>
      <c r="AH3" s="3"/>
      <c r="AI3" s="3">
        <f t="shared" ref="AI3:AI17" si="4">IF($AE3=0,100,IF($AE3=1,90,IF($AE3=2,75,IF($AE3=3,60,IF($AE3=4,50,IF($AE3=5,25,IF($AE3&gt;=6,0,"")))))))</f>
        <v>100</v>
      </c>
      <c r="AJ3" s="3" t="str">
        <f t="shared" ref="AJ3:AJ17" si="5">IFERROR(IF(AND($G3="CONTRATADO EN EJECUCIÓN",$AE3&gt;1),(IFERROR(IF(ISTEXT($AG3),($AA3*0.4+$AB3*0.2+$AD3*0.4),""),""))*$AI3/100,IFERROR(IF(ISTEXT($AG3),($AA3*0.4+$AB3*0.2+$AD3*0.4),""),"")),0)</f>
        <v/>
      </c>
      <c r="AK3" s="3"/>
    </row>
    <row r="4" spans="1:37" ht="69.900000000000006" customHeight="1" x14ac:dyDescent="0.3">
      <c r="A4" s="3" t="s">
        <v>235</v>
      </c>
      <c r="B4" s="3" t="s">
        <v>236</v>
      </c>
      <c r="C4" s="3" t="s">
        <v>237</v>
      </c>
      <c r="D4" s="3" t="s">
        <v>238</v>
      </c>
      <c r="E4" s="3" t="s">
        <v>155</v>
      </c>
      <c r="F4" s="3" t="s">
        <v>239</v>
      </c>
      <c r="G4" s="3" t="s">
        <v>67</v>
      </c>
      <c r="H4" s="3"/>
      <c r="I4" s="4">
        <v>1295118639.0699999</v>
      </c>
      <c r="J4" s="4">
        <v>143902071.00999999</v>
      </c>
      <c r="K4" s="4">
        <v>1439020710.0799999</v>
      </c>
      <c r="L4" s="5"/>
      <c r="M4" s="5"/>
      <c r="N4" s="5"/>
      <c r="O4" s="4"/>
      <c r="P4" s="4"/>
      <c r="Q4" s="3"/>
      <c r="R4" s="3"/>
      <c r="S4" s="5"/>
      <c r="T4" s="5"/>
      <c r="U4" s="5"/>
      <c r="V4" s="5"/>
      <c r="W4" s="5">
        <v>46096</v>
      </c>
      <c r="X4" s="3"/>
      <c r="Y4" s="3"/>
      <c r="Z4" s="3"/>
      <c r="AA4" s="3" t="str">
        <f t="shared" si="0"/>
        <v/>
      </c>
      <c r="AB4" s="3" t="str">
        <f t="shared" si="1"/>
        <v/>
      </c>
      <c r="AC4" s="3">
        <f t="shared" si="2"/>
        <v>100</v>
      </c>
      <c r="AD4" s="3" t="str">
        <f t="shared" si="3"/>
        <v/>
      </c>
      <c r="AE4" s="3"/>
      <c r="AF4" s="3"/>
      <c r="AG4" s="3"/>
      <c r="AH4" s="3"/>
      <c r="AI4" s="3">
        <f t="shared" si="4"/>
        <v>100</v>
      </c>
      <c r="AJ4" s="3" t="str">
        <f t="shared" si="5"/>
        <v/>
      </c>
      <c r="AK4" s="3"/>
    </row>
    <row r="5" spans="1:37" ht="69.900000000000006" customHeight="1" x14ac:dyDescent="0.3">
      <c r="A5" s="3" t="s">
        <v>240</v>
      </c>
      <c r="B5" s="3" t="s">
        <v>241</v>
      </c>
      <c r="C5" s="3" t="s">
        <v>242</v>
      </c>
      <c r="D5" s="3" t="s">
        <v>243</v>
      </c>
      <c r="E5" s="3" t="s">
        <v>53</v>
      </c>
      <c r="F5" s="3" t="s">
        <v>105</v>
      </c>
      <c r="G5" s="3" t="s">
        <v>54</v>
      </c>
      <c r="H5" s="3"/>
      <c r="I5" s="4">
        <v>3153851580.9099998</v>
      </c>
      <c r="J5" s="4">
        <v>0</v>
      </c>
      <c r="K5" s="4">
        <v>3153851580.9099998</v>
      </c>
      <c r="L5" s="5"/>
      <c r="M5" s="5"/>
      <c r="N5" s="5"/>
      <c r="O5" s="4"/>
      <c r="P5" s="4"/>
      <c r="Q5" s="3">
        <v>0.25</v>
      </c>
      <c r="R5" s="3">
        <v>0.36</v>
      </c>
      <c r="S5" s="5"/>
      <c r="T5" s="5"/>
      <c r="U5" s="5"/>
      <c r="V5" s="5"/>
      <c r="W5" s="5">
        <v>46096</v>
      </c>
      <c r="X5" s="3"/>
      <c r="Y5" s="3"/>
      <c r="Z5" s="3"/>
      <c r="AA5" s="3">
        <f t="shared" si="0"/>
        <v>0</v>
      </c>
      <c r="AB5" s="3">
        <f t="shared" si="1"/>
        <v>0</v>
      </c>
      <c r="AC5" s="3">
        <f t="shared" si="2"/>
        <v>100</v>
      </c>
      <c r="AD5" s="3" t="str">
        <f t="shared" si="3"/>
        <v/>
      </c>
      <c r="AE5" s="3"/>
      <c r="AF5" s="3"/>
      <c r="AG5" s="3"/>
      <c r="AH5" s="3"/>
      <c r="AI5" s="3">
        <f t="shared" si="4"/>
        <v>100</v>
      </c>
      <c r="AJ5" s="3" t="str">
        <f t="shared" si="5"/>
        <v/>
      </c>
      <c r="AK5" s="3"/>
    </row>
    <row r="6" spans="1:37" ht="69.900000000000006" customHeight="1" x14ac:dyDescent="0.3">
      <c r="A6" s="3" t="s">
        <v>244</v>
      </c>
      <c r="B6" s="3" t="s">
        <v>231</v>
      </c>
      <c r="C6" s="3" t="s">
        <v>245</v>
      </c>
      <c r="D6" s="3" t="s">
        <v>246</v>
      </c>
      <c r="E6" s="3" t="s">
        <v>155</v>
      </c>
      <c r="F6" s="3" t="s">
        <v>247</v>
      </c>
      <c r="G6" s="3" t="s">
        <v>54</v>
      </c>
      <c r="H6" s="3"/>
      <c r="I6" s="4">
        <v>6026477761</v>
      </c>
      <c r="J6" s="4">
        <v>4412367709</v>
      </c>
      <c r="K6" s="4">
        <v>10438845470</v>
      </c>
      <c r="L6" s="5"/>
      <c r="M6" s="5"/>
      <c r="N6" s="5"/>
      <c r="O6" s="4"/>
      <c r="P6" s="4"/>
      <c r="Q6" s="3">
        <v>0.45</v>
      </c>
      <c r="R6" s="3">
        <v>0.25</v>
      </c>
      <c r="S6" s="5"/>
      <c r="T6" s="5"/>
      <c r="U6" s="5"/>
      <c r="V6" s="5"/>
      <c r="W6" s="5">
        <v>46096</v>
      </c>
      <c r="X6" s="3"/>
      <c r="Y6" s="3"/>
      <c r="Z6" s="3"/>
      <c r="AA6" s="3">
        <f t="shared" si="0"/>
        <v>0</v>
      </c>
      <c r="AB6" s="3">
        <f t="shared" si="1"/>
        <v>15.21739130434783</v>
      </c>
      <c r="AC6" s="3">
        <f t="shared" si="2"/>
        <v>100</v>
      </c>
      <c r="AD6" s="3" t="str">
        <f t="shared" si="3"/>
        <v/>
      </c>
      <c r="AE6" s="3"/>
      <c r="AF6" s="3"/>
      <c r="AG6" s="3"/>
      <c r="AH6" s="3"/>
      <c r="AI6" s="3">
        <f t="shared" si="4"/>
        <v>100</v>
      </c>
      <c r="AJ6" s="3" t="str">
        <f t="shared" si="5"/>
        <v/>
      </c>
      <c r="AK6" s="3"/>
    </row>
    <row r="7" spans="1:37" ht="69.900000000000006" customHeight="1" x14ac:dyDescent="0.3">
      <c r="A7" s="3" t="s">
        <v>248</v>
      </c>
      <c r="B7" s="3" t="s">
        <v>231</v>
      </c>
      <c r="C7" s="3" t="s">
        <v>249</v>
      </c>
      <c r="D7" s="3" t="s">
        <v>250</v>
      </c>
      <c r="E7" s="3" t="s">
        <v>155</v>
      </c>
      <c r="F7" s="3" t="s">
        <v>251</v>
      </c>
      <c r="G7" s="3" t="s">
        <v>54</v>
      </c>
      <c r="H7" s="3"/>
      <c r="I7" s="4">
        <v>1800000000</v>
      </c>
      <c r="J7" s="4">
        <v>3595445276.02</v>
      </c>
      <c r="K7" s="4">
        <v>5395445276.0200005</v>
      </c>
      <c r="L7" s="5"/>
      <c r="M7" s="5"/>
      <c r="N7" s="5"/>
      <c r="O7" s="4"/>
      <c r="P7" s="4"/>
      <c r="Q7" s="3"/>
      <c r="R7" s="3"/>
      <c r="S7" s="5"/>
      <c r="T7" s="5"/>
      <c r="U7" s="5"/>
      <c r="V7" s="5"/>
      <c r="W7" s="5">
        <v>46096</v>
      </c>
      <c r="X7" s="3"/>
      <c r="Y7" s="3"/>
      <c r="Z7" s="3"/>
      <c r="AA7" s="3">
        <f t="shared" si="0"/>
        <v>0</v>
      </c>
      <c r="AB7" s="3">
        <f t="shared" si="1"/>
        <v>0</v>
      </c>
      <c r="AC7" s="3">
        <f t="shared" si="2"/>
        <v>100</v>
      </c>
      <c r="AD7" s="3" t="str">
        <f t="shared" si="3"/>
        <v/>
      </c>
      <c r="AE7" s="3"/>
      <c r="AF7" s="3"/>
      <c r="AG7" s="3"/>
      <c r="AH7" s="3"/>
      <c r="AI7" s="3">
        <f t="shared" si="4"/>
        <v>100</v>
      </c>
      <c r="AJ7" s="3" t="str">
        <f t="shared" si="5"/>
        <v/>
      </c>
      <c r="AK7" s="3"/>
    </row>
    <row r="8" spans="1:37" ht="69.900000000000006" customHeight="1" x14ac:dyDescent="0.3">
      <c r="A8" s="3" t="s">
        <v>252</v>
      </c>
      <c r="B8" s="3" t="s">
        <v>241</v>
      </c>
      <c r="C8" s="3" t="s">
        <v>253</v>
      </c>
      <c r="D8" s="3" t="s">
        <v>254</v>
      </c>
      <c r="E8" s="3" t="s">
        <v>53</v>
      </c>
      <c r="F8" s="3" t="s">
        <v>76</v>
      </c>
      <c r="G8" s="3" t="s">
        <v>67</v>
      </c>
      <c r="H8" s="3"/>
      <c r="I8" s="4">
        <v>1702007732.2</v>
      </c>
      <c r="J8" s="4">
        <v>0</v>
      </c>
      <c r="K8" s="4">
        <v>1702007732.2</v>
      </c>
      <c r="L8" s="5"/>
      <c r="M8" s="5"/>
      <c r="N8" s="5"/>
      <c r="O8" s="4"/>
      <c r="P8" s="4"/>
      <c r="Q8" s="3"/>
      <c r="R8" s="3"/>
      <c r="S8" s="5"/>
      <c r="T8" s="5"/>
      <c r="U8" s="5"/>
      <c r="V8" s="5"/>
      <c r="W8" s="5">
        <v>46096</v>
      </c>
      <c r="X8" s="3"/>
      <c r="Y8" s="3"/>
      <c r="Z8" s="3"/>
      <c r="AA8" s="3" t="str">
        <f t="shared" si="0"/>
        <v/>
      </c>
      <c r="AB8" s="3" t="str">
        <f t="shared" si="1"/>
        <v/>
      </c>
      <c r="AC8" s="3">
        <f t="shared" si="2"/>
        <v>100</v>
      </c>
      <c r="AD8" s="3" t="str">
        <f t="shared" si="3"/>
        <v/>
      </c>
      <c r="AE8" s="3"/>
      <c r="AF8" s="3"/>
      <c r="AG8" s="3"/>
      <c r="AH8" s="3"/>
      <c r="AI8" s="3">
        <f t="shared" si="4"/>
        <v>100</v>
      </c>
      <c r="AJ8" s="3" t="str">
        <f t="shared" si="5"/>
        <v/>
      </c>
      <c r="AK8" s="3"/>
    </row>
    <row r="9" spans="1:37" ht="69.900000000000006" customHeight="1" x14ac:dyDescent="0.3">
      <c r="A9" s="3" t="s">
        <v>255</v>
      </c>
      <c r="B9" s="3" t="s">
        <v>241</v>
      </c>
      <c r="C9" s="3" t="s">
        <v>256</v>
      </c>
      <c r="D9" s="3" t="s">
        <v>257</v>
      </c>
      <c r="E9" s="3" t="s">
        <v>158</v>
      </c>
      <c r="F9" s="3" t="s">
        <v>258</v>
      </c>
      <c r="G9" s="3" t="s">
        <v>54</v>
      </c>
      <c r="H9" s="3"/>
      <c r="I9" s="4">
        <v>13713002364.719999</v>
      </c>
      <c r="J9" s="4">
        <v>0</v>
      </c>
      <c r="K9" s="4">
        <v>13713002364.719999</v>
      </c>
      <c r="L9" s="5"/>
      <c r="M9" s="5"/>
      <c r="N9" s="5"/>
      <c r="O9" s="4"/>
      <c r="P9" s="4"/>
      <c r="Q9" s="3"/>
      <c r="R9" s="3"/>
      <c r="S9" s="5"/>
      <c r="T9" s="5"/>
      <c r="U9" s="5"/>
      <c r="V9" s="5"/>
      <c r="W9" s="5">
        <v>46096</v>
      </c>
      <c r="X9" s="3"/>
      <c r="Y9" s="3"/>
      <c r="Z9" s="3"/>
      <c r="AA9" s="3">
        <f t="shared" si="0"/>
        <v>0</v>
      </c>
      <c r="AB9" s="3">
        <f t="shared" si="1"/>
        <v>0</v>
      </c>
      <c r="AC9" s="3">
        <f t="shared" si="2"/>
        <v>100</v>
      </c>
      <c r="AD9" s="3" t="str">
        <f t="shared" si="3"/>
        <v/>
      </c>
      <c r="AE9" s="3"/>
      <c r="AF9" s="3"/>
      <c r="AG9" s="3"/>
      <c r="AH9" s="3"/>
      <c r="AI9" s="3">
        <f t="shared" si="4"/>
        <v>100</v>
      </c>
      <c r="AJ9" s="3" t="str">
        <f t="shared" si="5"/>
        <v/>
      </c>
      <c r="AK9" s="3"/>
    </row>
    <row r="10" spans="1:37" ht="69.900000000000006" customHeight="1" x14ac:dyDescent="0.3">
      <c r="A10" s="3" t="s">
        <v>259</v>
      </c>
      <c r="B10" s="3" t="s">
        <v>241</v>
      </c>
      <c r="C10" s="3" t="s">
        <v>260</v>
      </c>
      <c r="D10" s="3" t="s">
        <v>261</v>
      </c>
      <c r="E10" s="3" t="s">
        <v>129</v>
      </c>
      <c r="F10" s="3" t="s">
        <v>76</v>
      </c>
      <c r="G10" s="3" t="s">
        <v>54</v>
      </c>
      <c r="H10" s="3"/>
      <c r="I10" s="4">
        <v>9056051736.6399994</v>
      </c>
      <c r="J10" s="4">
        <v>0</v>
      </c>
      <c r="K10" s="4">
        <v>9056051736.6399994</v>
      </c>
      <c r="L10" s="5"/>
      <c r="M10" s="5"/>
      <c r="N10" s="5"/>
      <c r="O10" s="4"/>
      <c r="P10" s="4"/>
      <c r="Q10" s="3"/>
      <c r="R10" s="3"/>
      <c r="S10" s="5"/>
      <c r="T10" s="5"/>
      <c r="U10" s="5"/>
      <c r="V10" s="5"/>
      <c r="W10" s="5">
        <v>46096</v>
      </c>
      <c r="X10" s="3"/>
      <c r="Y10" s="3"/>
      <c r="Z10" s="3"/>
      <c r="AA10" s="3">
        <f t="shared" si="0"/>
        <v>0</v>
      </c>
      <c r="AB10" s="3">
        <f t="shared" si="1"/>
        <v>0</v>
      </c>
      <c r="AC10" s="3">
        <f t="shared" si="2"/>
        <v>100</v>
      </c>
      <c r="AD10" s="3" t="str">
        <f t="shared" si="3"/>
        <v/>
      </c>
      <c r="AE10" s="3"/>
      <c r="AF10" s="3"/>
      <c r="AG10" s="3"/>
      <c r="AH10" s="3"/>
      <c r="AI10" s="3">
        <f t="shared" si="4"/>
        <v>100</v>
      </c>
      <c r="AJ10" s="3" t="str">
        <f t="shared" si="5"/>
        <v/>
      </c>
      <c r="AK10" s="3"/>
    </row>
    <row r="11" spans="1:37" ht="69.900000000000006" customHeight="1" x14ac:dyDescent="0.3">
      <c r="A11" s="3" t="s">
        <v>262</v>
      </c>
      <c r="B11" s="3" t="s">
        <v>231</v>
      </c>
      <c r="C11" s="3" t="s">
        <v>263</v>
      </c>
      <c r="D11" s="3" t="s">
        <v>264</v>
      </c>
      <c r="E11" s="3" t="s">
        <v>155</v>
      </c>
      <c r="F11" s="3" t="s">
        <v>76</v>
      </c>
      <c r="G11" s="3" t="s">
        <v>54</v>
      </c>
      <c r="H11" s="3"/>
      <c r="I11" s="4">
        <v>7862105021</v>
      </c>
      <c r="J11" s="4">
        <v>0</v>
      </c>
      <c r="K11" s="4">
        <v>7862105021</v>
      </c>
      <c r="L11" s="5"/>
      <c r="M11" s="5"/>
      <c r="N11" s="5"/>
      <c r="O11" s="4"/>
      <c r="P11" s="4"/>
      <c r="Q11" s="3"/>
      <c r="R11" s="3"/>
      <c r="S11" s="5"/>
      <c r="T11" s="5"/>
      <c r="U11" s="5"/>
      <c r="V11" s="5"/>
      <c r="W11" s="5">
        <v>46096</v>
      </c>
      <c r="X11" s="3"/>
      <c r="Y11" s="3"/>
      <c r="Z11" s="3"/>
      <c r="AA11" s="3">
        <f t="shared" si="0"/>
        <v>0</v>
      </c>
      <c r="AB11" s="3">
        <f t="shared" si="1"/>
        <v>0</v>
      </c>
      <c r="AC11" s="3">
        <f t="shared" si="2"/>
        <v>100</v>
      </c>
      <c r="AD11" s="3" t="str">
        <f t="shared" si="3"/>
        <v/>
      </c>
      <c r="AE11" s="3"/>
      <c r="AF11" s="3"/>
      <c r="AG11" s="3"/>
      <c r="AH11" s="3"/>
      <c r="AI11" s="3">
        <f t="shared" si="4"/>
        <v>100</v>
      </c>
      <c r="AJ11" s="3" t="str">
        <f t="shared" si="5"/>
        <v/>
      </c>
      <c r="AK11" s="3"/>
    </row>
    <row r="12" spans="1:37" ht="69.900000000000006" customHeight="1" x14ac:dyDescent="0.3">
      <c r="A12" s="3" t="s">
        <v>265</v>
      </c>
      <c r="B12" s="3" t="s">
        <v>266</v>
      </c>
      <c r="C12" s="3" t="s">
        <v>267</v>
      </c>
      <c r="D12" s="3" t="s">
        <v>268</v>
      </c>
      <c r="E12" s="3" t="s">
        <v>144</v>
      </c>
      <c r="F12" s="3" t="s">
        <v>76</v>
      </c>
      <c r="G12" s="3" t="s">
        <v>54</v>
      </c>
      <c r="H12" s="3"/>
      <c r="I12" s="4">
        <v>15100656106.639999</v>
      </c>
      <c r="J12" s="4">
        <v>0</v>
      </c>
      <c r="K12" s="4">
        <v>15100656106.639999</v>
      </c>
      <c r="L12" s="5"/>
      <c r="M12" s="5"/>
      <c r="N12" s="5"/>
      <c r="O12" s="4"/>
      <c r="P12" s="4"/>
      <c r="Q12" s="3"/>
      <c r="R12" s="3"/>
      <c r="S12" s="5"/>
      <c r="T12" s="5"/>
      <c r="U12" s="5"/>
      <c r="V12" s="5"/>
      <c r="W12" s="5">
        <v>46096</v>
      </c>
      <c r="X12" s="3"/>
      <c r="Y12" s="3"/>
      <c r="Z12" s="3"/>
      <c r="AA12" s="3">
        <f t="shared" si="0"/>
        <v>0</v>
      </c>
      <c r="AB12" s="3">
        <f t="shared" si="1"/>
        <v>0</v>
      </c>
      <c r="AC12" s="3">
        <f t="shared" si="2"/>
        <v>100</v>
      </c>
      <c r="AD12" s="3" t="str">
        <f t="shared" si="3"/>
        <v/>
      </c>
      <c r="AE12" s="3"/>
      <c r="AF12" s="3"/>
      <c r="AG12" s="3"/>
      <c r="AH12" s="3"/>
      <c r="AI12" s="3">
        <f t="shared" si="4"/>
        <v>100</v>
      </c>
      <c r="AJ12" s="3" t="str">
        <f t="shared" si="5"/>
        <v/>
      </c>
      <c r="AK12" s="3"/>
    </row>
    <row r="13" spans="1:37" ht="69.900000000000006" customHeight="1" x14ac:dyDescent="0.3">
      <c r="A13" s="3" t="s">
        <v>269</v>
      </c>
      <c r="B13" s="3" t="s">
        <v>231</v>
      </c>
      <c r="C13" s="3" t="s">
        <v>270</v>
      </c>
      <c r="D13" s="3" t="s">
        <v>271</v>
      </c>
      <c r="E13" s="3" t="s">
        <v>152</v>
      </c>
      <c r="F13" s="3" t="s">
        <v>76</v>
      </c>
      <c r="G13" s="3" t="s">
        <v>54</v>
      </c>
      <c r="H13" s="3"/>
      <c r="I13" s="4">
        <v>3068416428</v>
      </c>
      <c r="J13" s="4">
        <v>0</v>
      </c>
      <c r="K13" s="4">
        <v>3068416428</v>
      </c>
      <c r="L13" s="5"/>
      <c r="M13" s="5"/>
      <c r="N13" s="5"/>
      <c r="O13" s="4"/>
      <c r="P13" s="4"/>
      <c r="Q13" s="3"/>
      <c r="R13" s="3"/>
      <c r="S13" s="5"/>
      <c r="T13" s="5"/>
      <c r="U13" s="5"/>
      <c r="V13" s="5"/>
      <c r="W13" s="5">
        <v>46096</v>
      </c>
      <c r="X13" s="3"/>
      <c r="Y13" s="3"/>
      <c r="Z13" s="3"/>
      <c r="AA13" s="3">
        <f t="shared" si="0"/>
        <v>0</v>
      </c>
      <c r="AB13" s="3">
        <f t="shared" si="1"/>
        <v>0</v>
      </c>
      <c r="AC13" s="3">
        <f t="shared" si="2"/>
        <v>100</v>
      </c>
      <c r="AD13" s="3" t="str">
        <f t="shared" si="3"/>
        <v/>
      </c>
      <c r="AE13" s="3"/>
      <c r="AF13" s="3"/>
      <c r="AG13" s="3"/>
      <c r="AH13" s="3"/>
      <c r="AI13" s="3">
        <f t="shared" si="4"/>
        <v>100</v>
      </c>
      <c r="AJ13" s="3" t="str">
        <f t="shared" si="5"/>
        <v/>
      </c>
      <c r="AK13" s="3"/>
    </row>
    <row r="14" spans="1:37" ht="69.900000000000006" customHeight="1" x14ac:dyDescent="0.3">
      <c r="A14" s="3" t="s">
        <v>272</v>
      </c>
      <c r="B14" s="3" t="s">
        <v>266</v>
      </c>
      <c r="C14" s="3" t="s">
        <v>273</v>
      </c>
      <c r="D14" s="3" t="s">
        <v>274</v>
      </c>
      <c r="E14" s="3" t="s">
        <v>144</v>
      </c>
      <c r="F14" s="3" t="s">
        <v>76</v>
      </c>
      <c r="G14" s="3" t="s">
        <v>54</v>
      </c>
      <c r="H14" s="3"/>
      <c r="I14" s="4">
        <v>63850574205.629997</v>
      </c>
      <c r="J14" s="4">
        <v>0</v>
      </c>
      <c r="K14" s="4">
        <v>63850574205.629997</v>
      </c>
      <c r="L14" s="5"/>
      <c r="M14" s="5"/>
      <c r="N14" s="5"/>
      <c r="O14" s="4"/>
      <c r="P14" s="4"/>
      <c r="Q14" s="3"/>
      <c r="R14" s="3"/>
      <c r="S14" s="5"/>
      <c r="T14" s="5"/>
      <c r="U14" s="5"/>
      <c r="V14" s="5"/>
      <c r="W14" s="5">
        <v>46096</v>
      </c>
      <c r="X14" s="3"/>
      <c r="Y14" s="3"/>
      <c r="Z14" s="3"/>
      <c r="AA14" s="3">
        <f t="shared" si="0"/>
        <v>0</v>
      </c>
      <c r="AB14" s="3">
        <f t="shared" si="1"/>
        <v>0</v>
      </c>
      <c r="AC14" s="3">
        <f t="shared" si="2"/>
        <v>100</v>
      </c>
      <c r="AD14" s="3" t="str">
        <f t="shared" si="3"/>
        <v/>
      </c>
      <c r="AE14" s="3"/>
      <c r="AF14" s="3"/>
      <c r="AG14" s="3"/>
      <c r="AH14" s="3"/>
      <c r="AI14" s="3">
        <f t="shared" si="4"/>
        <v>100</v>
      </c>
      <c r="AJ14" s="3" t="str">
        <f t="shared" si="5"/>
        <v/>
      </c>
      <c r="AK14" s="3"/>
    </row>
    <row r="15" spans="1:37" ht="69.900000000000006" customHeight="1" x14ac:dyDescent="0.3">
      <c r="A15" s="3" t="s">
        <v>275</v>
      </c>
      <c r="B15" s="3" t="s">
        <v>231</v>
      </c>
      <c r="C15" s="3" t="s">
        <v>276</v>
      </c>
      <c r="D15" s="3" t="s">
        <v>277</v>
      </c>
      <c r="E15" s="3" t="s">
        <v>155</v>
      </c>
      <c r="F15" s="3" t="s">
        <v>76</v>
      </c>
      <c r="G15" s="3" t="s">
        <v>54</v>
      </c>
      <c r="H15" s="3"/>
      <c r="I15" s="4">
        <v>11318403530.17</v>
      </c>
      <c r="J15" s="4">
        <v>0</v>
      </c>
      <c r="K15" s="4">
        <v>11318403530.17</v>
      </c>
      <c r="L15" s="5"/>
      <c r="M15" s="5"/>
      <c r="N15" s="5"/>
      <c r="O15" s="4"/>
      <c r="P15" s="4"/>
      <c r="Q15" s="3"/>
      <c r="R15" s="3"/>
      <c r="S15" s="5"/>
      <c r="T15" s="5"/>
      <c r="U15" s="5"/>
      <c r="V15" s="5"/>
      <c r="W15" s="5">
        <v>46096</v>
      </c>
      <c r="X15" s="3"/>
      <c r="Y15" s="3"/>
      <c r="Z15" s="3"/>
      <c r="AA15" s="3">
        <f t="shared" si="0"/>
        <v>0</v>
      </c>
      <c r="AB15" s="3">
        <f t="shared" si="1"/>
        <v>0</v>
      </c>
      <c r="AC15" s="3">
        <f t="shared" si="2"/>
        <v>100</v>
      </c>
      <c r="AD15" s="3" t="str">
        <f t="shared" si="3"/>
        <v/>
      </c>
      <c r="AE15" s="3"/>
      <c r="AF15" s="3"/>
      <c r="AG15" s="3"/>
      <c r="AH15" s="3"/>
      <c r="AI15" s="3">
        <f t="shared" si="4"/>
        <v>100</v>
      </c>
      <c r="AJ15" s="3" t="str">
        <f t="shared" si="5"/>
        <v/>
      </c>
      <c r="AK15" s="3"/>
    </row>
    <row r="16" spans="1:37" ht="69.900000000000006" customHeight="1" x14ac:dyDescent="0.3">
      <c r="A16" s="3" t="s">
        <v>278</v>
      </c>
      <c r="B16" s="3" t="s">
        <v>266</v>
      </c>
      <c r="C16" s="3" t="s">
        <v>279</v>
      </c>
      <c r="D16" s="3" t="s">
        <v>280</v>
      </c>
      <c r="E16" s="3" t="s">
        <v>144</v>
      </c>
      <c r="F16" s="3" t="s">
        <v>145</v>
      </c>
      <c r="G16" s="3" t="s">
        <v>187</v>
      </c>
      <c r="H16" s="3"/>
      <c r="I16" s="4">
        <v>1903272161</v>
      </c>
      <c r="J16" s="4">
        <v>0</v>
      </c>
      <c r="K16" s="4">
        <v>1903272161</v>
      </c>
      <c r="L16" s="5"/>
      <c r="M16" s="5"/>
      <c r="N16" s="5"/>
      <c r="O16" s="4"/>
      <c r="P16" s="4"/>
      <c r="Q16" s="3"/>
      <c r="R16" s="3"/>
      <c r="S16" s="5"/>
      <c r="T16" s="5"/>
      <c r="U16" s="5"/>
      <c r="V16" s="5"/>
      <c r="W16" s="5">
        <v>46096</v>
      </c>
      <c r="X16" s="3"/>
      <c r="Y16" s="3"/>
      <c r="Z16" s="3"/>
      <c r="AA16" s="3" t="str">
        <f t="shared" si="0"/>
        <v/>
      </c>
      <c r="AB16" s="3" t="str">
        <f t="shared" si="1"/>
        <v/>
      </c>
      <c r="AC16" s="3">
        <f t="shared" si="2"/>
        <v>100</v>
      </c>
      <c r="AD16" s="3" t="str">
        <f t="shared" si="3"/>
        <v/>
      </c>
      <c r="AE16" s="3"/>
      <c r="AF16" s="3"/>
      <c r="AG16" s="3"/>
      <c r="AH16" s="3"/>
      <c r="AI16" s="3">
        <f t="shared" si="4"/>
        <v>100</v>
      </c>
      <c r="AJ16" s="3" t="str">
        <f t="shared" si="5"/>
        <v/>
      </c>
      <c r="AK16" s="3"/>
    </row>
    <row r="17" spans="1:37" ht="69.900000000000006" customHeight="1" x14ac:dyDescent="0.3">
      <c r="A17" s="3" t="s">
        <v>281</v>
      </c>
      <c r="B17" s="3" t="s">
        <v>266</v>
      </c>
      <c r="C17" s="3" t="s">
        <v>282</v>
      </c>
      <c r="D17" s="3" t="s">
        <v>283</v>
      </c>
      <c r="E17" s="3" t="s">
        <v>144</v>
      </c>
      <c r="F17" s="3" t="s">
        <v>145</v>
      </c>
      <c r="G17" s="3" t="s">
        <v>177</v>
      </c>
      <c r="H17" s="3"/>
      <c r="I17" s="4">
        <v>1484402616</v>
      </c>
      <c r="J17" s="4">
        <v>400000000</v>
      </c>
      <c r="K17" s="4">
        <v>1884402616</v>
      </c>
      <c r="L17" s="5"/>
      <c r="M17" s="5"/>
      <c r="N17" s="5"/>
      <c r="O17" s="4"/>
      <c r="P17" s="4"/>
      <c r="Q17" s="3"/>
      <c r="R17" s="3"/>
      <c r="S17" s="5"/>
      <c r="T17" s="5"/>
      <c r="U17" s="5"/>
      <c r="V17" s="5"/>
      <c r="W17" s="5">
        <v>46096</v>
      </c>
      <c r="X17" s="3"/>
      <c r="Y17" s="3"/>
      <c r="Z17" s="3"/>
      <c r="AA17" s="3" t="str">
        <f t="shared" si="0"/>
        <v/>
      </c>
      <c r="AB17" s="3" t="str">
        <f t="shared" si="1"/>
        <v/>
      </c>
      <c r="AC17" s="3">
        <f t="shared" si="2"/>
        <v>100</v>
      </c>
      <c r="AD17" s="3" t="str">
        <f t="shared" si="3"/>
        <v/>
      </c>
      <c r="AE17" s="3"/>
      <c r="AF17" s="3"/>
      <c r="AG17" s="3"/>
      <c r="AH17" s="3"/>
      <c r="AI17" s="3">
        <f t="shared" si="4"/>
        <v>100</v>
      </c>
      <c r="AJ17" s="3" t="str">
        <f t="shared" si="5"/>
        <v/>
      </c>
      <c r="AK17" s="3"/>
    </row>
  </sheetData>
  <mergeCells count="3">
    <mergeCell ref="A1:N1"/>
    <mergeCell ref="O1:AE1"/>
    <mergeCell ref="AF1:AK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4"/>
  <sheetViews>
    <sheetView workbookViewId="0"/>
  </sheetViews>
  <sheetFormatPr baseColWidth="10" defaultColWidth="9.109375" defaultRowHeight="14.4" x14ac:dyDescent="0.3"/>
  <cols>
    <col min="1" max="18" width="25.6640625" customWidth="1"/>
  </cols>
  <sheetData>
    <row r="1" spans="1:18" ht="39.9" customHeight="1" x14ac:dyDescent="0.3">
      <c r="A1" s="8" t="s">
        <v>0</v>
      </c>
      <c r="B1" s="8"/>
      <c r="C1" s="8"/>
      <c r="D1" s="8"/>
      <c r="E1" s="8"/>
      <c r="F1" s="8"/>
      <c r="G1" s="8"/>
      <c r="H1" s="8"/>
      <c r="I1" s="8"/>
      <c r="J1" s="8"/>
      <c r="K1" s="8"/>
      <c r="L1" s="8"/>
      <c r="M1" s="8"/>
      <c r="N1" s="8"/>
      <c r="O1" s="8"/>
      <c r="P1" s="8"/>
      <c r="Q1" s="8"/>
      <c r="R1" s="8"/>
    </row>
    <row r="2" spans="1:18" ht="69.900000000000006" customHeight="1" x14ac:dyDescent="0.3">
      <c r="A2" s="1" t="s">
        <v>3</v>
      </c>
      <c r="B2" s="1" t="s">
        <v>220</v>
      </c>
      <c r="C2" s="1" t="s">
        <v>221</v>
      </c>
      <c r="D2" s="1" t="s">
        <v>222</v>
      </c>
      <c r="E2" s="1" t="s">
        <v>7</v>
      </c>
      <c r="F2" s="1" t="s">
        <v>223</v>
      </c>
      <c r="G2" s="1" t="s">
        <v>9</v>
      </c>
      <c r="H2" s="1" t="s">
        <v>10</v>
      </c>
      <c r="I2" s="1" t="s">
        <v>13</v>
      </c>
      <c r="J2" s="1" t="s">
        <v>15</v>
      </c>
      <c r="K2" s="1" t="s">
        <v>225</v>
      </c>
      <c r="L2" s="1" t="s">
        <v>27</v>
      </c>
      <c r="M2" s="1" t="s">
        <v>21</v>
      </c>
      <c r="N2" s="1" t="s">
        <v>226</v>
      </c>
      <c r="O2" s="1" t="s">
        <v>30</v>
      </c>
      <c r="P2" s="1" t="s">
        <v>227</v>
      </c>
      <c r="Q2" s="1" t="s">
        <v>24</v>
      </c>
      <c r="R2" s="1" t="s">
        <v>284</v>
      </c>
    </row>
    <row r="3" spans="1:18" ht="69.900000000000006" customHeight="1" x14ac:dyDescent="0.3">
      <c r="A3" s="3" t="s">
        <v>285</v>
      </c>
      <c r="B3" s="3" t="s">
        <v>286</v>
      </c>
      <c r="C3" s="3" t="s">
        <v>287</v>
      </c>
      <c r="D3" s="3" t="s">
        <v>288</v>
      </c>
      <c r="E3" s="3" t="s">
        <v>74</v>
      </c>
      <c r="F3" s="3" t="s">
        <v>57</v>
      </c>
      <c r="G3" s="3" t="s">
        <v>67</v>
      </c>
      <c r="H3" s="3"/>
      <c r="I3" s="4">
        <v>22526692745</v>
      </c>
      <c r="J3" s="4">
        <v>0</v>
      </c>
      <c r="K3" s="4">
        <v>22526692745</v>
      </c>
      <c r="L3" s="5"/>
      <c r="M3" s="5"/>
      <c r="N3" s="5"/>
      <c r="O3" s="5"/>
      <c r="P3" s="4"/>
      <c r="Q3" s="4"/>
      <c r="R3" s="3"/>
    </row>
    <row r="4" spans="1:18" ht="69.900000000000006" customHeight="1" x14ac:dyDescent="0.3">
      <c r="A4" s="3" t="s">
        <v>289</v>
      </c>
      <c r="B4" s="3" t="s">
        <v>290</v>
      </c>
      <c r="C4" s="3" t="s">
        <v>291</v>
      </c>
      <c r="D4" s="3" t="s">
        <v>292</v>
      </c>
      <c r="E4" s="3" t="s">
        <v>74</v>
      </c>
      <c r="F4" s="3" t="s">
        <v>145</v>
      </c>
      <c r="G4" s="3" t="s">
        <v>67</v>
      </c>
      <c r="H4" s="3"/>
      <c r="I4" s="4">
        <v>924979909</v>
      </c>
      <c r="J4" s="4">
        <v>30000000</v>
      </c>
      <c r="K4" s="4">
        <v>954979909</v>
      </c>
      <c r="L4" s="5"/>
      <c r="M4" s="5"/>
      <c r="N4" s="5"/>
      <c r="O4" s="5"/>
      <c r="P4" s="4"/>
      <c r="Q4" s="4"/>
      <c r="R4" s="3"/>
    </row>
    <row r="5" spans="1:18" ht="69.900000000000006" customHeight="1" x14ac:dyDescent="0.3">
      <c r="A5" s="3" t="s">
        <v>293</v>
      </c>
      <c r="B5" s="3" t="s">
        <v>294</v>
      </c>
      <c r="C5" s="3" t="s">
        <v>295</v>
      </c>
      <c r="D5" s="3" t="s">
        <v>296</v>
      </c>
      <c r="E5" s="3" t="s">
        <v>74</v>
      </c>
      <c r="F5" s="3" t="s">
        <v>145</v>
      </c>
      <c r="G5" s="3" t="s">
        <v>67</v>
      </c>
      <c r="H5" s="3"/>
      <c r="I5" s="4">
        <v>999998309</v>
      </c>
      <c r="J5" s="4">
        <v>11000000</v>
      </c>
      <c r="K5" s="4">
        <v>1010998309</v>
      </c>
      <c r="L5" s="5"/>
      <c r="M5" s="5"/>
      <c r="N5" s="5"/>
      <c r="O5" s="5"/>
      <c r="P5" s="4"/>
      <c r="Q5" s="4"/>
      <c r="R5" s="3"/>
    </row>
    <row r="6" spans="1:18" ht="69.900000000000006" customHeight="1" x14ac:dyDescent="0.3">
      <c r="A6" s="3" t="s">
        <v>297</v>
      </c>
      <c r="B6" s="3" t="s">
        <v>298</v>
      </c>
      <c r="C6" s="3" t="s">
        <v>299</v>
      </c>
      <c r="D6" s="3" t="s">
        <v>300</v>
      </c>
      <c r="E6" s="3" t="s">
        <v>74</v>
      </c>
      <c r="F6" s="3" t="s">
        <v>57</v>
      </c>
      <c r="G6" s="3" t="s">
        <v>67</v>
      </c>
      <c r="H6" s="3"/>
      <c r="I6" s="4">
        <v>16567304387</v>
      </c>
      <c r="J6" s="4">
        <v>0</v>
      </c>
      <c r="K6" s="4">
        <v>16567304387</v>
      </c>
      <c r="L6" s="5"/>
      <c r="M6" s="5"/>
      <c r="N6" s="5"/>
      <c r="O6" s="5"/>
      <c r="P6" s="4"/>
      <c r="Q6" s="4"/>
      <c r="R6" s="3"/>
    </row>
    <row r="7" spans="1:18" ht="69.900000000000006" customHeight="1" x14ac:dyDescent="0.3">
      <c r="A7" s="3" t="s">
        <v>301</v>
      </c>
      <c r="B7" s="3" t="s">
        <v>294</v>
      </c>
      <c r="C7" s="3" t="s">
        <v>302</v>
      </c>
      <c r="D7" s="3" t="s">
        <v>303</v>
      </c>
      <c r="E7" s="3" t="s">
        <v>74</v>
      </c>
      <c r="F7" s="3" t="s">
        <v>304</v>
      </c>
      <c r="G7" s="3" t="s">
        <v>67</v>
      </c>
      <c r="H7" s="3"/>
      <c r="I7" s="4">
        <v>12429000000</v>
      </c>
      <c r="J7" s="4">
        <v>159110083</v>
      </c>
      <c r="K7" s="4">
        <v>12588110083</v>
      </c>
      <c r="L7" s="5"/>
      <c r="M7" s="5"/>
      <c r="N7" s="5"/>
      <c r="O7" s="5"/>
      <c r="P7" s="4"/>
      <c r="Q7" s="4"/>
      <c r="R7" s="3"/>
    </row>
    <row r="8" spans="1:18" ht="69.900000000000006" customHeight="1" x14ac:dyDescent="0.3">
      <c r="A8" s="3" t="s">
        <v>305</v>
      </c>
      <c r="B8" s="3" t="s">
        <v>306</v>
      </c>
      <c r="C8" s="3" t="s">
        <v>307</v>
      </c>
      <c r="D8" s="3" t="s">
        <v>308</v>
      </c>
      <c r="E8" s="3" t="s">
        <v>182</v>
      </c>
      <c r="F8" s="3" t="s">
        <v>57</v>
      </c>
      <c r="G8" s="3" t="s">
        <v>54</v>
      </c>
      <c r="H8" s="3"/>
      <c r="I8" s="4">
        <v>14996018261</v>
      </c>
      <c r="J8" s="4">
        <v>0</v>
      </c>
      <c r="K8" s="4">
        <v>14996018261</v>
      </c>
      <c r="L8" s="5"/>
      <c r="M8" s="5"/>
      <c r="N8" s="5"/>
      <c r="O8" s="5"/>
      <c r="P8" s="4"/>
      <c r="Q8" s="4"/>
      <c r="R8" s="3"/>
    </row>
    <row r="9" spans="1:18" ht="69.900000000000006" customHeight="1" x14ac:dyDescent="0.3">
      <c r="A9" s="3" t="s">
        <v>309</v>
      </c>
      <c r="B9" s="3" t="s">
        <v>310</v>
      </c>
      <c r="C9" s="3" t="s">
        <v>311</v>
      </c>
      <c r="D9" s="3" t="s">
        <v>312</v>
      </c>
      <c r="E9" s="3" t="s">
        <v>74</v>
      </c>
      <c r="F9" s="3" t="s">
        <v>313</v>
      </c>
      <c r="G9" s="3" t="s">
        <v>67</v>
      </c>
      <c r="H9" s="3"/>
      <c r="I9" s="4">
        <v>14913362760</v>
      </c>
      <c r="J9" s="4">
        <v>0</v>
      </c>
      <c r="K9" s="4">
        <v>14913362760</v>
      </c>
      <c r="L9" s="5"/>
      <c r="M9" s="5"/>
      <c r="N9" s="5"/>
      <c r="O9" s="5"/>
      <c r="P9" s="4"/>
      <c r="Q9" s="4"/>
      <c r="R9" s="3"/>
    </row>
    <row r="10" spans="1:18" ht="69.900000000000006" customHeight="1" x14ac:dyDescent="0.3">
      <c r="A10" s="3" t="s">
        <v>314</v>
      </c>
      <c r="B10" s="3" t="s">
        <v>315</v>
      </c>
      <c r="C10" s="3" t="s">
        <v>316</v>
      </c>
      <c r="D10" s="3" t="s">
        <v>317</v>
      </c>
      <c r="E10" s="3" t="s">
        <v>74</v>
      </c>
      <c r="F10" s="3" t="s">
        <v>318</v>
      </c>
      <c r="G10" s="3" t="s">
        <v>67</v>
      </c>
      <c r="H10" s="3"/>
      <c r="I10" s="4">
        <v>7037696704</v>
      </c>
      <c r="J10" s="4">
        <v>700920310</v>
      </c>
      <c r="K10" s="4">
        <v>7738617014</v>
      </c>
      <c r="L10" s="5"/>
      <c r="M10" s="5"/>
      <c r="N10" s="5"/>
      <c r="O10" s="5"/>
      <c r="P10" s="4"/>
      <c r="Q10" s="4"/>
      <c r="R10" s="3"/>
    </row>
    <row r="11" spans="1:18" ht="69.900000000000006" customHeight="1" x14ac:dyDescent="0.3">
      <c r="A11" s="3" t="s">
        <v>319</v>
      </c>
      <c r="B11" s="3" t="s">
        <v>320</v>
      </c>
      <c r="C11" s="3" t="s">
        <v>321</v>
      </c>
      <c r="D11" s="3" t="s">
        <v>322</v>
      </c>
      <c r="E11" s="3" t="s">
        <v>60</v>
      </c>
      <c r="F11" s="3" t="s">
        <v>99</v>
      </c>
      <c r="G11" s="3" t="s">
        <v>67</v>
      </c>
      <c r="H11" s="3"/>
      <c r="I11" s="4">
        <v>13800000000</v>
      </c>
      <c r="J11" s="4">
        <v>2151400000</v>
      </c>
      <c r="K11" s="4">
        <v>15951400000</v>
      </c>
      <c r="L11" s="5"/>
      <c r="M11" s="5"/>
      <c r="N11" s="5"/>
      <c r="O11" s="5"/>
      <c r="P11" s="4"/>
      <c r="Q11" s="4"/>
      <c r="R11" s="3"/>
    </row>
    <row r="12" spans="1:18" ht="69.900000000000006" customHeight="1" x14ac:dyDescent="0.3">
      <c r="A12" s="3" t="s">
        <v>323</v>
      </c>
      <c r="B12" s="3" t="s">
        <v>324</v>
      </c>
      <c r="C12" s="3" t="s">
        <v>325</v>
      </c>
      <c r="D12" s="3" t="s">
        <v>326</v>
      </c>
      <c r="E12" s="3" t="s">
        <v>74</v>
      </c>
      <c r="F12" s="3" t="s">
        <v>327</v>
      </c>
      <c r="G12" s="3" t="s">
        <v>67</v>
      </c>
      <c r="H12" s="3"/>
      <c r="I12" s="4">
        <v>16094650077</v>
      </c>
      <c r="J12" s="4">
        <v>312767700</v>
      </c>
      <c r="K12" s="4">
        <v>16407417777</v>
      </c>
      <c r="L12" s="5"/>
      <c r="M12" s="5"/>
      <c r="N12" s="5"/>
      <c r="O12" s="5"/>
      <c r="P12" s="4"/>
      <c r="Q12" s="4"/>
      <c r="R12" s="3"/>
    </row>
    <row r="13" spans="1:18" ht="69.900000000000006" customHeight="1" x14ac:dyDescent="0.3">
      <c r="A13" s="3" t="s">
        <v>328</v>
      </c>
      <c r="B13" s="3" t="s">
        <v>329</v>
      </c>
      <c r="C13" s="3" t="s">
        <v>330</v>
      </c>
      <c r="D13" s="3" t="s">
        <v>331</v>
      </c>
      <c r="E13" s="3" t="s">
        <v>74</v>
      </c>
      <c r="F13" s="3" t="s">
        <v>332</v>
      </c>
      <c r="G13" s="3" t="s">
        <v>67</v>
      </c>
      <c r="H13" s="3"/>
      <c r="I13" s="4">
        <v>54337268559</v>
      </c>
      <c r="J13" s="4">
        <v>8559008426</v>
      </c>
      <c r="K13" s="4">
        <v>62896276985</v>
      </c>
      <c r="L13" s="5"/>
      <c r="M13" s="5"/>
      <c r="N13" s="5"/>
      <c r="O13" s="5"/>
      <c r="P13" s="4"/>
      <c r="Q13" s="4"/>
      <c r="R13" s="3"/>
    </row>
    <row r="14" spans="1:18" ht="69.900000000000006" customHeight="1" x14ac:dyDescent="0.3">
      <c r="A14" s="3" t="s">
        <v>333</v>
      </c>
      <c r="B14" s="3" t="s">
        <v>334</v>
      </c>
      <c r="C14" s="3" t="s">
        <v>335</v>
      </c>
      <c r="D14" s="3" t="s">
        <v>336</v>
      </c>
      <c r="E14" s="3" t="s">
        <v>74</v>
      </c>
      <c r="F14" s="3" t="s">
        <v>337</v>
      </c>
      <c r="G14" s="3" t="s">
        <v>54</v>
      </c>
      <c r="H14" s="3"/>
      <c r="I14" s="4">
        <v>5261488232.5</v>
      </c>
      <c r="J14" s="4">
        <v>100000000</v>
      </c>
      <c r="K14" s="4">
        <v>5361488232.5</v>
      </c>
      <c r="L14" s="5"/>
      <c r="M14" s="5"/>
      <c r="N14" s="5"/>
      <c r="O14" s="5"/>
      <c r="P14" s="4"/>
      <c r="Q14" s="4"/>
      <c r="R14" s="3"/>
    </row>
    <row r="15" spans="1:18" ht="69.900000000000006" customHeight="1" x14ac:dyDescent="0.3">
      <c r="A15" s="3" t="s">
        <v>338</v>
      </c>
      <c r="B15" s="3" t="s">
        <v>339</v>
      </c>
      <c r="C15" s="3" t="s">
        <v>340</v>
      </c>
      <c r="D15" s="3" t="s">
        <v>341</v>
      </c>
      <c r="E15" s="3" t="s">
        <v>91</v>
      </c>
      <c r="F15" s="3" t="s">
        <v>57</v>
      </c>
      <c r="G15" s="3" t="s">
        <v>67</v>
      </c>
      <c r="H15" s="3"/>
      <c r="I15" s="4">
        <v>8077068482</v>
      </c>
      <c r="J15" s="4">
        <v>0</v>
      </c>
      <c r="K15" s="4">
        <v>8077068482</v>
      </c>
      <c r="L15" s="5"/>
      <c r="M15" s="5"/>
      <c r="N15" s="5"/>
      <c r="O15" s="5"/>
      <c r="P15" s="4"/>
      <c r="Q15" s="4"/>
      <c r="R15" s="3"/>
    </row>
    <row r="16" spans="1:18" ht="69.900000000000006" customHeight="1" x14ac:dyDescent="0.3">
      <c r="A16" s="3" t="s">
        <v>342</v>
      </c>
      <c r="B16" s="3" t="s">
        <v>343</v>
      </c>
      <c r="C16" s="3" t="s">
        <v>344</v>
      </c>
      <c r="D16" s="3" t="s">
        <v>345</v>
      </c>
      <c r="E16" s="3" t="s">
        <v>60</v>
      </c>
      <c r="F16" s="3" t="s">
        <v>99</v>
      </c>
      <c r="G16" s="3" t="s">
        <v>54</v>
      </c>
      <c r="H16" s="3"/>
      <c r="I16" s="4">
        <v>7750000000</v>
      </c>
      <c r="J16" s="4">
        <v>0</v>
      </c>
      <c r="K16" s="4">
        <v>7750000000</v>
      </c>
      <c r="L16" s="5"/>
      <c r="M16" s="5"/>
      <c r="N16" s="5"/>
      <c r="O16" s="5"/>
      <c r="P16" s="4"/>
      <c r="Q16" s="4"/>
      <c r="R16" s="3"/>
    </row>
    <row r="17" spans="1:18" ht="69.900000000000006" customHeight="1" x14ac:dyDescent="0.3">
      <c r="A17" s="3" t="s">
        <v>346</v>
      </c>
      <c r="B17" s="3" t="s">
        <v>347</v>
      </c>
      <c r="C17" s="3" t="s">
        <v>348</v>
      </c>
      <c r="D17" s="3" t="s">
        <v>349</v>
      </c>
      <c r="E17" s="3" t="s">
        <v>60</v>
      </c>
      <c r="F17" s="3" t="s">
        <v>99</v>
      </c>
      <c r="G17" s="3" t="s">
        <v>54</v>
      </c>
      <c r="H17" s="3"/>
      <c r="I17" s="4">
        <v>1027100000</v>
      </c>
      <c r="J17" s="4">
        <v>100575000</v>
      </c>
      <c r="K17" s="4">
        <v>1127675000</v>
      </c>
      <c r="L17" s="5"/>
      <c r="M17" s="5"/>
      <c r="N17" s="5"/>
      <c r="O17" s="5"/>
      <c r="P17" s="4"/>
      <c r="Q17" s="4"/>
      <c r="R17" s="3"/>
    </row>
    <row r="18" spans="1:18" ht="69.900000000000006" customHeight="1" x14ac:dyDescent="0.3">
      <c r="A18" s="3" t="s">
        <v>350</v>
      </c>
      <c r="B18" s="3" t="s">
        <v>351</v>
      </c>
      <c r="C18" s="3" t="s">
        <v>352</v>
      </c>
      <c r="D18" s="3" t="s">
        <v>353</v>
      </c>
      <c r="E18" s="3" t="s">
        <v>60</v>
      </c>
      <c r="F18" s="3" t="s">
        <v>99</v>
      </c>
      <c r="G18" s="3" t="s">
        <v>54</v>
      </c>
      <c r="H18" s="3"/>
      <c r="I18" s="4">
        <v>9491491960</v>
      </c>
      <c r="J18" s="4">
        <v>443750000</v>
      </c>
      <c r="K18" s="4">
        <v>9935241960</v>
      </c>
      <c r="L18" s="5"/>
      <c r="M18" s="5"/>
      <c r="N18" s="5"/>
      <c r="O18" s="5"/>
      <c r="P18" s="4"/>
      <c r="Q18" s="4"/>
      <c r="R18" s="3"/>
    </row>
    <row r="19" spans="1:18" ht="69.900000000000006" customHeight="1" x14ac:dyDescent="0.3">
      <c r="A19" s="3" t="s">
        <v>354</v>
      </c>
      <c r="B19" s="3" t="s">
        <v>355</v>
      </c>
      <c r="C19" s="3" t="s">
        <v>356</v>
      </c>
      <c r="D19" s="3" t="s">
        <v>357</v>
      </c>
      <c r="E19" s="3" t="s">
        <v>60</v>
      </c>
      <c r="F19" s="3" t="s">
        <v>99</v>
      </c>
      <c r="G19" s="3" t="s">
        <v>54</v>
      </c>
      <c r="H19" s="3"/>
      <c r="I19" s="4">
        <v>4024500000</v>
      </c>
      <c r="J19" s="4">
        <v>177500000</v>
      </c>
      <c r="K19" s="4">
        <v>4202000000</v>
      </c>
      <c r="L19" s="5"/>
      <c r="M19" s="5"/>
      <c r="N19" s="5"/>
      <c r="O19" s="5"/>
      <c r="P19" s="4"/>
      <c r="Q19" s="4"/>
      <c r="R19" s="3"/>
    </row>
    <row r="20" spans="1:18" ht="69.900000000000006" customHeight="1" x14ac:dyDescent="0.3">
      <c r="A20" s="3" t="s">
        <v>358</v>
      </c>
      <c r="B20" s="3" t="s">
        <v>359</v>
      </c>
      <c r="C20" s="3" t="s">
        <v>360</v>
      </c>
      <c r="D20" s="3" t="s">
        <v>361</v>
      </c>
      <c r="E20" s="3" t="s">
        <v>60</v>
      </c>
      <c r="F20" s="3" t="s">
        <v>63</v>
      </c>
      <c r="G20" s="3" t="s">
        <v>54</v>
      </c>
      <c r="H20" s="3"/>
      <c r="I20" s="4">
        <v>20233937500</v>
      </c>
      <c r="J20" s="4">
        <v>928127000</v>
      </c>
      <c r="K20" s="4">
        <v>21162064500</v>
      </c>
      <c r="L20" s="5"/>
      <c r="M20" s="5"/>
      <c r="N20" s="5"/>
      <c r="O20" s="5"/>
      <c r="P20" s="4"/>
      <c r="Q20" s="4"/>
      <c r="R20" s="3"/>
    </row>
    <row r="21" spans="1:18" ht="69.900000000000006" customHeight="1" x14ac:dyDescent="0.3">
      <c r="A21" s="3" t="s">
        <v>362</v>
      </c>
      <c r="B21" s="3" t="s">
        <v>363</v>
      </c>
      <c r="C21" s="3" t="s">
        <v>364</v>
      </c>
      <c r="D21" s="3" t="s">
        <v>365</v>
      </c>
      <c r="E21" s="3" t="s">
        <v>60</v>
      </c>
      <c r="F21" s="3" t="s">
        <v>63</v>
      </c>
      <c r="G21" s="3" t="s">
        <v>54</v>
      </c>
      <c r="H21" s="3"/>
      <c r="I21" s="4">
        <v>6524500000</v>
      </c>
      <c r="J21" s="4">
        <v>0</v>
      </c>
      <c r="K21" s="4">
        <v>6524500000</v>
      </c>
      <c r="L21" s="5"/>
      <c r="M21" s="5"/>
      <c r="N21" s="5"/>
      <c r="O21" s="5"/>
      <c r="P21" s="4"/>
      <c r="Q21" s="4"/>
      <c r="R21" s="3"/>
    </row>
    <row r="22" spans="1:18" ht="69.900000000000006" customHeight="1" x14ac:dyDescent="0.3">
      <c r="A22" s="3" t="s">
        <v>366</v>
      </c>
      <c r="B22" s="3" t="s">
        <v>367</v>
      </c>
      <c r="C22" s="3" t="s">
        <v>368</v>
      </c>
      <c r="D22" s="3" t="s">
        <v>369</v>
      </c>
      <c r="E22" s="3" t="s">
        <v>60</v>
      </c>
      <c r="F22" s="3" t="s">
        <v>99</v>
      </c>
      <c r="G22" s="3" t="s">
        <v>54</v>
      </c>
      <c r="H22" s="3"/>
      <c r="I22" s="4">
        <v>2500000000</v>
      </c>
      <c r="J22" s="4">
        <v>88750000</v>
      </c>
      <c r="K22" s="4">
        <v>2588750000</v>
      </c>
      <c r="L22" s="5"/>
      <c r="M22" s="5"/>
      <c r="N22" s="5"/>
      <c r="O22" s="5"/>
      <c r="P22" s="4"/>
      <c r="Q22" s="4"/>
      <c r="R22" s="3"/>
    </row>
    <row r="23" spans="1:18" ht="69.900000000000006" customHeight="1" x14ac:dyDescent="0.3">
      <c r="A23" s="3" t="s">
        <v>370</v>
      </c>
      <c r="B23" s="3" t="s">
        <v>371</v>
      </c>
      <c r="C23" s="3" t="s">
        <v>372</v>
      </c>
      <c r="D23" s="3" t="s">
        <v>373</v>
      </c>
      <c r="E23" s="3" t="s">
        <v>60</v>
      </c>
      <c r="F23" s="3" t="s">
        <v>99</v>
      </c>
      <c r="G23" s="3" t="s">
        <v>54</v>
      </c>
      <c r="H23" s="3"/>
      <c r="I23" s="4">
        <v>3500000000</v>
      </c>
      <c r="J23" s="4">
        <v>654449000</v>
      </c>
      <c r="K23" s="4">
        <v>4154449000</v>
      </c>
      <c r="L23" s="5"/>
      <c r="M23" s="5"/>
      <c r="N23" s="5"/>
      <c r="O23" s="5"/>
      <c r="P23" s="4"/>
      <c r="Q23" s="4"/>
      <c r="R23" s="3"/>
    </row>
    <row r="24" spans="1:18" ht="69.900000000000006" customHeight="1" x14ac:dyDescent="0.3">
      <c r="A24" s="3" t="s">
        <v>374</v>
      </c>
      <c r="B24" s="3" t="s">
        <v>375</v>
      </c>
      <c r="C24" s="3" t="s">
        <v>376</v>
      </c>
      <c r="D24" s="3" t="s">
        <v>377</v>
      </c>
      <c r="E24" s="3" t="s">
        <v>60</v>
      </c>
      <c r="F24" s="3" t="s">
        <v>99</v>
      </c>
      <c r="G24" s="3" t="s">
        <v>54</v>
      </c>
      <c r="H24" s="3"/>
      <c r="I24" s="4">
        <v>3250000000</v>
      </c>
      <c r="J24" s="4">
        <v>227139308</v>
      </c>
      <c r="K24" s="4">
        <v>3477139308</v>
      </c>
      <c r="L24" s="5"/>
      <c r="M24" s="5"/>
      <c r="N24" s="5"/>
      <c r="O24" s="5"/>
      <c r="P24" s="4"/>
      <c r="Q24" s="4"/>
      <c r="R24" s="3"/>
    </row>
    <row r="25" spans="1:18" ht="69.900000000000006" customHeight="1" x14ac:dyDescent="0.3">
      <c r="A25" s="3" t="s">
        <v>378</v>
      </c>
      <c r="B25" s="3" t="s">
        <v>379</v>
      </c>
      <c r="C25" s="3" t="s">
        <v>380</v>
      </c>
      <c r="D25" s="3" t="s">
        <v>381</v>
      </c>
      <c r="E25" s="3" t="s">
        <v>60</v>
      </c>
      <c r="F25" s="3" t="s">
        <v>99</v>
      </c>
      <c r="G25" s="3" t="s">
        <v>54</v>
      </c>
      <c r="H25" s="3"/>
      <c r="I25" s="4">
        <v>946000000</v>
      </c>
      <c r="J25" s="4">
        <v>44375000</v>
      </c>
      <c r="K25" s="4">
        <v>990375000</v>
      </c>
      <c r="L25" s="5"/>
      <c r="M25" s="5"/>
      <c r="N25" s="5"/>
      <c r="O25" s="5"/>
      <c r="P25" s="4"/>
      <c r="Q25" s="4"/>
      <c r="R25" s="3"/>
    </row>
    <row r="26" spans="1:18" ht="69.900000000000006" customHeight="1" x14ac:dyDescent="0.3">
      <c r="A26" s="3" t="s">
        <v>382</v>
      </c>
      <c r="B26" s="3" t="s">
        <v>383</v>
      </c>
      <c r="C26" s="3" t="s">
        <v>384</v>
      </c>
      <c r="D26" s="3" t="s">
        <v>385</v>
      </c>
      <c r="E26" s="3" t="s">
        <v>60</v>
      </c>
      <c r="F26" s="3" t="s">
        <v>99</v>
      </c>
      <c r="G26" s="3" t="s">
        <v>54</v>
      </c>
      <c r="H26" s="3"/>
      <c r="I26" s="4">
        <v>1943625000</v>
      </c>
      <c r="J26" s="4">
        <v>88750000</v>
      </c>
      <c r="K26" s="4">
        <v>2032375000</v>
      </c>
      <c r="L26" s="5"/>
      <c r="M26" s="5"/>
      <c r="N26" s="5"/>
      <c r="O26" s="5"/>
      <c r="P26" s="4"/>
      <c r="Q26" s="4"/>
      <c r="R26" s="3"/>
    </row>
    <row r="27" spans="1:18" ht="69.900000000000006" customHeight="1" x14ac:dyDescent="0.3">
      <c r="A27" s="3" t="s">
        <v>386</v>
      </c>
      <c r="B27" s="3" t="s">
        <v>387</v>
      </c>
      <c r="C27" s="3" t="s">
        <v>388</v>
      </c>
      <c r="D27" s="3" t="s">
        <v>389</v>
      </c>
      <c r="E27" s="3" t="s">
        <v>60</v>
      </c>
      <c r="F27" s="3" t="s">
        <v>99</v>
      </c>
      <c r="G27" s="3" t="s">
        <v>54</v>
      </c>
      <c r="H27" s="3"/>
      <c r="I27" s="4">
        <v>1999999962.27</v>
      </c>
      <c r="J27" s="4">
        <v>667064931.65999985</v>
      </c>
      <c r="K27" s="4">
        <v>2667064893.9299998</v>
      </c>
      <c r="L27" s="5"/>
      <c r="M27" s="5"/>
      <c r="N27" s="5"/>
      <c r="O27" s="5"/>
      <c r="P27" s="4"/>
      <c r="Q27" s="4"/>
      <c r="R27" s="3"/>
    </row>
    <row r="28" spans="1:18" ht="69.900000000000006" customHeight="1" x14ac:dyDescent="0.3">
      <c r="A28" s="3" t="s">
        <v>390</v>
      </c>
      <c r="B28" s="3" t="s">
        <v>391</v>
      </c>
      <c r="C28" s="3" t="s">
        <v>392</v>
      </c>
      <c r="D28" s="3" t="s">
        <v>393</v>
      </c>
      <c r="E28" s="3" t="s">
        <v>53</v>
      </c>
      <c r="F28" s="3" t="s">
        <v>394</v>
      </c>
      <c r="G28" s="3" t="s">
        <v>67</v>
      </c>
      <c r="H28" s="3"/>
      <c r="I28" s="4">
        <v>729826686</v>
      </c>
      <c r="J28" s="4">
        <v>465734861</v>
      </c>
      <c r="K28" s="4">
        <v>1195561547</v>
      </c>
      <c r="L28" s="5"/>
      <c r="M28" s="5"/>
      <c r="N28" s="5"/>
      <c r="O28" s="5"/>
      <c r="P28" s="4"/>
      <c r="Q28" s="4"/>
      <c r="R28" s="3"/>
    </row>
    <row r="29" spans="1:18" ht="69.900000000000006" customHeight="1" x14ac:dyDescent="0.3">
      <c r="A29" s="3" t="s">
        <v>395</v>
      </c>
      <c r="B29" s="3" t="s">
        <v>324</v>
      </c>
      <c r="C29" s="3" t="s">
        <v>396</v>
      </c>
      <c r="D29" s="3" t="s">
        <v>397</v>
      </c>
      <c r="E29" s="3" t="s">
        <v>144</v>
      </c>
      <c r="F29" s="3" t="s">
        <v>398</v>
      </c>
      <c r="G29" s="3" t="s">
        <v>67</v>
      </c>
      <c r="H29" s="3"/>
      <c r="I29" s="4">
        <v>37141732473</v>
      </c>
      <c r="J29" s="4">
        <v>0</v>
      </c>
      <c r="K29" s="4">
        <v>37141732473</v>
      </c>
      <c r="L29" s="5"/>
      <c r="M29" s="5"/>
      <c r="N29" s="5"/>
      <c r="O29" s="5"/>
      <c r="P29" s="4"/>
      <c r="Q29" s="4"/>
      <c r="R29" s="3"/>
    </row>
    <row r="30" spans="1:18" ht="69.900000000000006" customHeight="1" x14ac:dyDescent="0.3">
      <c r="A30" s="3" t="s">
        <v>399</v>
      </c>
      <c r="B30" s="3" t="s">
        <v>294</v>
      </c>
      <c r="C30" s="3" t="s">
        <v>400</v>
      </c>
      <c r="D30" s="3" t="s">
        <v>401</v>
      </c>
      <c r="E30" s="3" t="s">
        <v>74</v>
      </c>
      <c r="F30" s="3" t="s">
        <v>105</v>
      </c>
      <c r="G30" s="3" t="s">
        <v>54</v>
      </c>
      <c r="H30" s="3"/>
      <c r="I30" s="4">
        <v>22507978719</v>
      </c>
      <c r="J30" s="4">
        <v>0</v>
      </c>
      <c r="K30" s="4">
        <v>22507978719</v>
      </c>
      <c r="L30" s="5"/>
      <c r="M30" s="5"/>
      <c r="N30" s="5"/>
      <c r="O30" s="5"/>
      <c r="P30" s="4"/>
      <c r="Q30" s="4"/>
      <c r="R30" s="3"/>
    </row>
    <row r="31" spans="1:18" ht="69.900000000000006" customHeight="1" x14ac:dyDescent="0.3">
      <c r="A31" s="3" t="s">
        <v>402</v>
      </c>
      <c r="B31" s="3" t="s">
        <v>403</v>
      </c>
      <c r="C31" s="3" t="s">
        <v>404</v>
      </c>
      <c r="D31" s="3" t="s">
        <v>405</v>
      </c>
      <c r="E31" s="3" t="s">
        <v>74</v>
      </c>
      <c r="F31" s="3" t="s">
        <v>406</v>
      </c>
      <c r="G31" s="3" t="s">
        <v>122</v>
      </c>
      <c r="H31" s="3"/>
      <c r="I31" s="4">
        <v>38700180208.470001</v>
      </c>
      <c r="J31" s="4">
        <v>236000000</v>
      </c>
      <c r="K31" s="4">
        <v>38936180208.470001</v>
      </c>
      <c r="L31" s="5"/>
      <c r="M31" s="5"/>
      <c r="N31" s="5"/>
      <c r="O31" s="5"/>
      <c r="P31" s="4"/>
      <c r="Q31" s="4"/>
      <c r="R31" s="3"/>
    </row>
    <row r="32" spans="1:18" ht="69.900000000000006" customHeight="1" x14ac:dyDescent="0.3">
      <c r="A32" s="3" t="s">
        <v>407</v>
      </c>
      <c r="B32" s="3" t="s">
        <v>329</v>
      </c>
      <c r="C32" s="3" t="s">
        <v>408</v>
      </c>
      <c r="D32" s="3" t="s">
        <v>409</v>
      </c>
      <c r="E32" s="3" t="s">
        <v>74</v>
      </c>
      <c r="F32" s="3" t="s">
        <v>57</v>
      </c>
      <c r="G32" s="3" t="s">
        <v>67</v>
      </c>
      <c r="H32" s="3"/>
      <c r="I32" s="4">
        <v>75409582200</v>
      </c>
      <c r="J32" s="4">
        <v>0</v>
      </c>
      <c r="K32" s="4">
        <v>75409582200</v>
      </c>
      <c r="L32" s="5"/>
      <c r="M32" s="5"/>
      <c r="N32" s="5"/>
      <c r="O32" s="5"/>
      <c r="P32" s="4"/>
      <c r="Q32" s="4"/>
      <c r="R32" s="3"/>
    </row>
    <row r="33" spans="1:18" ht="69.900000000000006" customHeight="1" x14ac:dyDescent="0.3">
      <c r="A33" s="3" t="s">
        <v>410</v>
      </c>
      <c r="B33" s="3" t="s">
        <v>355</v>
      </c>
      <c r="C33" s="3" t="s">
        <v>411</v>
      </c>
      <c r="D33" s="3" t="s">
        <v>412</v>
      </c>
      <c r="E33" s="3" t="s">
        <v>60</v>
      </c>
      <c r="F33" s="3" t="s">
        <v>99</v>
      </c>
      <c r="G33" s="3" t="s">
        <v>67</v>
      </c>
      <c r="H33" s="3"/>
      <c r="I33" s="4">
        <v>1998000000</v>
      </c>
      <c r="J33" s="4">
        <v>416100000</v>
      </c>
      <c r="K33" s="4">
        <v>2414100000</v>
      </c>
      <c r="L33" s="5"/>
      <c r="M33" s="5"/>
      <c r="N33" s="5"/>
      <c r="O33" s="5"/>
      <c r="P33" s="4"/>
      <c r="Q33" s="4"/>
      <c r="R33" s="3"/>
    </row>
    <row r="34" spans="1:18" ht="69.900000000000006" customHeight="1" x14ac:dyDescent="0.3">
      <c r="A34" s="3" t="s">
        <v>413</v>
      </c>
      <c r="B34" s="3" t="s">
        <v>355</v>
      </c>
      <c r="C34" s="3" t="s">
        <v>414</v>
      </c>
      <c r="D34" s="3" t="s">
        <v>415</v>
      </c>
      <c r="E34" s="3" t="s">
        <v>60</v>
      </c>
      <c r="F34" s="3" t="s">
        <v>99</v>
      </c>
      <c r="G34" s="3" t="s">
        <v>67</v>
      </c>
      <c r="H34" s="3"/>
      <c r="I34" s="4">
        <v>1999306318</v>
      </c>
      <c r="J34" s="4">
        <v>1491009306.72</v>
      </c>
      <c r="K34" s="4">
        <v>3490315624.7199998</v>
      </c>
      <c r="L34" s="5"/>
      <c r="M34" s="5"/>
      <c r="N34" s="5"/>
      <c r="O34" s="5"/>
      <c r="P34" s="4"/>
      <c r="Q34" s="4"/>
      <c r="R34" s="3"/>
    </row>
    <row r="35" spans="1:18" ht="69.900000000000006" customHeight="1" x14ac:dyDescent="0.3">
      <c r="A35" s="3" t="s">
        <v>416</v>
      </c>
      <c r="B35" s="3" t="s">
        <v>417</v>
      </c>
      <c r="C35" s="3" t="s">
        <v>418</v>
      </c>
      <c r="D35" s="3" t="s">
        <v>419</v>
      </c>
      <c r="E35" s="3" t="s">
        <v>60</v>
      </c>
      <c r="F35" s="3" t="s">
        <v>99</v>
      </c>
      <c r="G35" s="3" t="s">
        <v>122</v>
      </c>
      <c r="H35" s="3"/>
      <c r="I35" s="4">
        <v>1999910691</v>
      </c>
      <c r="J35" s="4">
        <v>1839271262</v>
      </c>
      <c r="K35" s="4">
        <v>3839181953</v>
      </c>
      <c r="L35" s="5"/>
      <c r="M35" s="5"/>
      <c r="N35" s="5"/>
      <c r="O35" s="5"/>
      <c r="P35" s="4"/>
      <c r="Q35" s="4"/>
      <c r="R35" s="3"/>
    </row>
    <row r="36" spans="1:18" ht="69.900000000000006" customHeight="1" x14ac:dyDescent="0.3">
      <c r="A36" s="3" t="s">
        <v>420</v>
      </c>
      <c r="B36" s="3" t="s">
        <v>421</v>
      </c>
      <c r="C36" s="3" t="s">
        <v>422</v>
      </c>
      <c r="D36" s="3" t="s">
        <v>423</v>
      </c>
      <c r="E36" s="3" t="s">
        <v>60</v>
      </c>
      <c r="F36" s="3" t="s">
        <v>99</v>
      </c>
      <c r="G36" s="3" t="s">
        <v>54</v>
      </c>
      <c r="H36" s="3"/>
      <c r="I36" s="4">
        <v>1999433630</v>
      </c>
      <c r="J36" s="4">
        <v>931051170</v>
      </c>
      <c r="K36" s="4">
        <v>2930484800</v>
      </c>
      <c r="L36" s="5"/>
      <c r="M36" s="5"/>
      <c r="N36" s="5"/>
      <c r="O36" s="5"/>
      <c r="P36" s="4"/>
      <c r="Q36" s="4"/>
      <c r="R36" s="3"/>
    </row>
    <row r="37" spans="1:18" ht="69.900000000000006" customHeight="1" x14ac:dyDescent="0.3">
      <c r="A37" s="3" t="s">
        <v>424</v>
      </c>
      <c r="B37" s="3" t="s">
        <v>425</v>
      </c>
      <c r="C37" s="3" t="s">
        <v>426</v>
      </c>
      <c r="D37" s="3" t="s">
        <v>427</v>
      </c>
      <c r="E37" s="3" t="s">
        <v>60</v>
      </c>
      <c r="F37" s="3" t="s">
        <v>99</v>
      </c>
      <c r="G37" s="3" t="s">
        <v>54</v>
      </c>
      <c r="H37" s="3"/>
      <c r="I37" s="4">
        <v>1999976897</v>
      </c>
      <c r="J37" s="4">
        <v>612770516</v>
      </c>
      <c r="K37" s="4">
        <v>2612747413</v>
      </c>
      <c r="L37" s="5"/>
      <c r="M37" s="5"/>
      <c r="N37" s="5"/>
      <c r="O37" s="5"/>
      <c r="P37" s="4"/>
      <c r="Q37" s="4"/>
      <c r="R37" s="3"/>
    </row>
    <row r="38" spans="1:18" ht="69.900000000000006" customHeight="1" x14ac:dyDescent="0.3">
      <c r="A38" s="3" t="s">
        <v>428</v>
      </c>
      <c r="B38" s="3" t="s">
        <v>429</v>
      </c>
      <c r="C38" s="3" t="s">
        <v>430</v>
      </c>
      <c r="D38" s="3" t="s">
        <v>431</v>
      </c>
      <c r="E38" s="3" t="s">
        <v>60</v>
      </c>
      <c r="F38" s="3" t="s">
        <v>99</v>
      </c>
      <c r="G38" s="3" t="s">
        <v>54</v>
      </c>
      <c r="H38" s="3"/>
      <c r="I38" s="4">
        <v>1272365336</v>
      </c>
      <c r="J38" s="4">
        <v>643306000</v>
      </c>
      <c r="K38" s="4">
        <v>1915671336</v>
      </c>
      <c r="L38" s="5"/>
      <c r="M38" s="5"/>
      <c r="N38" s="5"/>
      <c r="O38" s="5"/>
      <c r="P38" s="4"/>
      <c r="Q38" s="4"/>
      <c r="R38" s="3"/>
    </row>
    <row r="39" spans="1:18" ht="69.900000000000006" customHeight="1" x14ac:dyDescent="0.3">
      <c r="A39" s="3" t="s">
        <v>432</v>
      </c>
      <c r="B39" s="3" t="s">
        <v>433</v>
      </c>
      <c r="C39" s="3" t="s">
        <v>434</v>
      </c>
      <c r="D39" s="3" t="s">
        <v>435</v>
      </c>
      <c r="E39" s="3" t="s">
        <v>60</v>
      </c>
      <c r="F39" s="3" t="s">
        <v>99</v>
      </c>
      <c r="G39" s="3" t="s">
        <v>54</v>
      </c>
      <c r="H39" s="3"/>
      <c r="I39" s="4">
        <v>1999833255</v>
      </c>
      <c r="J39" s="4">
        <v>948213920</v>
      </c>
      <c r="K39" s="4">
        <v>2948047175</v>
      </c>
      <c r="L39" s="5"/>
      <c r="M39" s="5"/>
      <c r="N39" s="5"/>
      <c r="O39" s="5"/>
      <c r="P39" s="4"/>
      <c r="Q39" s="4"/>
      <c r="R39" s="3"/>
    </row>
    <row r="40" spans="1:18" ht="69.900000000000006" customHeight="1" x14ac:dyDescent="0.3">
      <c r="A40" s="3" t="s">
        <v>436</v>
      </c>
      <c r="B40" s="3" t="s">
        <v>437</v>
      </c>
      <c r="C40" s="3" t="s">
        <v>438</v>
      </c>
      <c r="D40" s="3" t="s">
        <v>439</v>
      </c>
      <c r="E40" s="3" t="s">
        <v>60</v>
      </c>
      <c r="F40" s="3" t="s">
        <v>99</v>
      </c>
      <c r="G40" s="3" t="s">
        <v>67</v>
      </c>
      <c r="H40" s="3"/>
      <c r="I40" s="4">
        <v>6559568533</v>
      </c>
      <c r="J40" s="4">
        <v>288576987</v>
      </c>
      <c r="K40" s="4">
        <v>6848145520</v>
      </c>
      <c r="L40" s="5"/>
      <c r="M40" s="5"/>
      <c r="N40" s="5"/>
      <c r="O40" s="5"/>
      <c r="P40" s="4"/>
      <c r="Q40" s="4"/>
      <c r="R40" s="3"/>
    </row>
    <row r="41" spans="1:18" ht="69.900000000000006" customHeight="1" x14ac:dyDescent="0.3">
      <c r="A41" s="3" t="s">
        <v>440</v>
      </c>
      <c r="B41" s="3" t="s">
        <v>417</v>
      </c>
      <c r="C41" s="3" t="s">
        <v>441</v>
      </c>
      <c r="D41" s="3" t="s">
        <v>442</v>
      </c>
      <c r="E41" s="3" t="s">
        <v>60</v>
      </c>
      <c r="F41" s="3" t="s">
        <v>99</v>
      </c>
      <c r="G41" s="3" t="s">
        <v>54</v>
      </c>
      <c r="H41" s="3"/>
      <c r="I41" s="4">
        <v>1998890586.73</v>
      </c>
      <c r="J41" s="4">
        <v>899995425.88000011</v>
      </c>
      <c r="K41" s="4">
        <v>2898886012.6100001</v>
      </c>
      <c r="L41" s="5"/>
      <c r="M41" s="5"/>
      <c r="N41" s="5"/>
      <c r="O41" s="5"/>
      <c r="P41" s="4"/>
      <c r="Q41" s="4"/>
      <c r="R41" s="3"/>
    </row>
    <row r="42" spans="1:18" ht="69.900000000000006" customHeight="1" x14ac:dyDescent="0.3">
      <c r="A42" s="3" t="s">
        <v>443</v>
      </c>
      <c r="B42" s="3" t="s">
        <v>425</v>
      </c>
      <c r="C42" s="3" t="s">
        <v>444</v>
      </c>
      <c r="D42" s="3" t="s">
        <v>445</v>
      </c>
      <c r="E42" s="3" t="s">
        <v>60</v>
      </c>
      <c r="F42" s="3" t="s">
        <v>99</v>
      </c>
      <c r="G42" s="3" t="s">
        <v>67</v>
      </c>
      <c r="H42" s="3"/>
      <c r="I42" s="4">
        <v>5347795060</v>
      </c>
      <c r="J42" s="4">
        <v>1233838703</v>
      </c>
      <c r="K42" s="4">
        <v>6581633763</v>
      </c>
      <c r="L42" s="5"/>
      <c r="M42" s="5"/>
      <c r="N42" s="5"/>
      <c r="O42" s="5"/>
      <c r="P42" s="4"/>
      <c r="Q42" s="4"/>
      <c r="R42" s="3"/>
    </row>
    <row r="43" spans="1:18" ht="69.900000000000006" customHeight="1" x14ac:dyDescent="0.3">
      <c r="A43" s="3" t="s">
        <v>446</v>
      </c>
      <c r="B43" s="3" t="s">
        <v>387</v>
      </c>
      <c r="C43" s="3" t="s">
        <v>447</v>
      </c>
      <c r="D43" s="3" t="s">
        <v>448</v>
      </c>
      <c r="E43" s="3" t="s">
        <v>60</v>
      </c>
      <c r="F43" s="3" t="s">
        <v>99</v>
      </c>
      <c r="G43" s="3" t="s">
        <v>54</v>
      </c>
      <c r="H43" s="3"/>
      <c r="I43" s="4">
        <v>1965295196.9400001</v>
      </c>
      <c r="J43" s="4">
        <v>2166508826.73</v>
      </c>
      <c r="K43" s="4">
        <v>4131804023.6700001</v>
      </c>
      <c r="L43" s="5"/>
      <c r="M43" s="5"/>
      <c r="N43" s="5"/>
      <c r="O43" s="5"/>
      <c r="P43" s="4"/>
      <c r="Q43" s="4"/>
      <c r="R43" s="3"/>
    </row>
    <row r="44" spans="1:18" ht="69.900000000000006" customHeight="1" x14ac:dyDescent="0.3">
      <c r="A44" s="3" t="s">
        <v>449</v>
      </c>
      <c r="B44" s="3" t="s">
        <v>425</v>
      </c>
      <c r="C44" s="3" t="s">
        <v>450</v>
      </c>
      <c r="D44" s="3" t="s">
        <v>451</v>
      </c>
      <c r="E44" s="3" t="s">
        <v>60</v>
      </c>
      <c r="F44" s="3" t="s">
        <v>99</v>
      </c>
      <c r="G44" s="3" t="s">
        <v>54</v>
      </c>
      <c r="H44" s="3"/>
      <c r="I44" s="4">
        <v>8764697664</v>
      </c>
      <c r="J44" s="4">
        <v>1543666900</v>
      </c>
      <c r="K44" s="4">
        <v>10308364564</v>
      </c>
      <c r="L44" s="5"/>
      <c r="M44" s="5"/>
      <c r="N44" s="5"/>
      <c r="O44" s="5"/>
      <c r="P44" s="4"/>
      <c r="Q44" s="4"/>
      <c r="R44" s="3"/>
    </row>
    <row r="45" spans="1:18" ht="69.900000000000006" customHeight="1" x14ac:dyDescent="0.3">
      <c r="A45" s="3" t="s">
        <v>452</v>
      </c>
      <c r="B45" s="3" t="s">
        <v>453</v>
      </c>
      <c r="C45" s="3" t="s">
        <v>454</v>
      </c>
      <c r="D45" s="3" t="s">
        <v>455</v>
      </c>
      <c r="E45" s="3" t="s">
        <v>60</v>
      </c>
      <c r="F45" s="3" t="s">
        <v>99</v>
      </c>
      <c r="G45" s="3" t="s">
        <v>67</v>
      </c>
      <c r="H45" s="3"/>
      <c r="I45" s="4">
        <v>1349000868</v>
      </c>
      <c r="J45" s="4">
        <v>60240000</v>
      </c>
      <c r="K45" s="4">
        <v>1409240868</v>
      </c>
      <c r="L45" s="5"/>
      <c r="M45" s="5"/>
      <c r="N45" s="5"/>
      <c r="O45" s="5"/>
      <c r="P45" s="4"/>
      <c r="Q45" s="4"/>
      <c r="R45" s="3"/>
    </row>
    <row r="46" spans="1:18" ht="69.900000000000006" customHeight="1" x14ac:dyDescent="0.3">
      <c r="A46" s="3" t="s">
        <v>456</v>
      </c>
      <c r="B46" s="3" t="s">
        <v>457</v>
      </c>
      <c r="C46" s="3" t="s">
        <v>458</v>
      </c>
      <c r="D46" s="3" t="s">
        <v>459</v>
      </c>
      <c r="E46" s="3" t="s">
        <v>60</v>
      </c>
      <c r="F46" s="3" t="s">
        <v>99</v>
      </c>
      <c r="G46" s="3" t="s">
        <v>67</v>
      </c>
      <c r="H46" s="3"/>
      <c r="I46" s="4">
        <v>3106000000</v>
      </c>
      <c r="J46" s="4">
        <v>50000000</v>
      </c>
      <c r="K46" s="4">
        <v>3156000000</v>
      </c>
      <c r="L46" s="5"/>
      <c r="M46" s="5"/>
      <c r="N46" s="5"/>
      <c r="O46" s="5"/>
      <c r="P46" s="4"/>
      <c r="Q46" s="4"/>
      <c r="R46" s="3"/>
    </row>
    <row r="47" spans="1:18" ht="69.900000000000006" customHeight="1" x14ac:dyDescent="0.3">
      <c r="A47" s="3" t="s">
        <v>460</v>
      </c>
      <c r="B47" s="3" t="s">
        <v>371</v>
      </c>
      <c r="C47" s="3" t="s">
        <v>461</v>
      </c>
      <c r="D47" s="3" t="s">
        <v>462</v>
      </c>
      <c r="E47" s="3" t="s">
        <v>60</v>
      </c>
      <c r="F47" s="3" t="s">
        <v>99</v>
      </c>
      <c r="G47" s="3" t="s">
        <v>67</v>
      </c>
      <c r="H47" s="3"/>
      <c r="I47" s="4">
        <v>8995267958.5699997</v>
      </c>
      <c r="J47" s="4">
        <v>182146495.4899998</v>
      </c>
      <c r="K47" s="4">
        <v>9177414454.0599995</v>
      </c>
      <c r="L47" s="5"/>
      <c r="M47" s="5"/>
      <c r="N47" s="5"/>
      <c r="O47" s="5"/>
      <c r="P47" s="4"/>
      <c r="Q47" s="4"/>
      <c r="R47" s="3"/>
    </row>
    <row r="48" spans="1:18" ht="69.900000000000006" customHeight="1" x14ac:dyDescent="0.3">
      <c r="A48" s="3" t="s">
        <v>463</v>
      </c>
      <c r="B48" s="3" t="s">
        <v>464</v>
      </c>
      <c r="C48" s="3" t="s">
        <v>465</v>
      </c>
      <c r="D48" s="3" t="s">
        <v>466</v>
      </c>
      <c r="E48" s="3" t="s">
        <v>60</v>
      </c>
      <c r="F48" s="3" t="s">
        <v>99</v>
      </c>
      <c r="G48" s="3" t="s">
        <v>54</v>
      </c>
      <c r="H48" s="3"/>
      <c r="I48" s="4">
        <v>6750000000</v>
      </c>
      <c r="J48" s="4">
        <v>170233499</v>
      </c>
      <c r="K48" s="4">
        <v>6920233499</v>
      </c>
      <c r="L48" s="5"/>
      <c r="M48" s="5"/>
      <c r="N48" s="5"/>
      <c r="O48" s="5"/>
      <c r="P48" s="4"/>
      <c r="Q48" s="4"/>
      <c r="R48" s="3"/>
    </row>
    <row r="49" spans="1:18" ht="69.900000000000006" customHeight="1" x14ac:dyDescent="0.3">
      <c r="A49" s="3" t="s">
        <v>467</v>
      </c>
      <c r="B49" s="3" t="s">
        <v>433</v>
      </c>
      <c r="C49" s="3" t="s">
        <v>468</v>
      </c>
      <c r="D49" s="3" t="s">
        <v>469</v>
      </c>
      <c r="E49" s="3" t="s">
        <v>60</v>
      </c>
      <c r="F49" s="3" t="s">
        <v>99</v>
      </c>
      <c r="G49" s="3" t="s">
        <v>54</v>
      </c>
      <c r="H49" s="3"/>
      <c r="I49" s="4">
        <v>1998157618.8800001</v>
      </c>
      <c r="J49" s="4">
        <v>469735103.82999992</v>
      </c>
      <c r="K49" s="4">
        <v>2467892722.71</v>
      </c>
      <c r="L49" s="5"/>
      <c r="M49" s="5"/>
      <c r="N49" s="5"/>
      <c r="O49" s="5"/>
      <c r="P49" s="4"/>
      <c r="Q49" s="4"/>
      <c r="R49" s="3"/>
    </row>
    <row r="50" spans="1:18" ht="69.900000000000006" customHeight="1" x14ac:dyDescent="0.3">
      <c r="A50" s="3" t="s">
        <v>470</v>
      </c>
      <c r="B50" s="3" t="s">
        <v>355</v>
      </c>
      <c r="C50" s="3" t="s">
        <v>471</v>
      </c>
      <c r="D50" s="3" t="s">
        <v>472</v>
      </c>
      <c r="E50" s="3" t="s">
        <v>60</v>
      </c>
      <c r="F50" s="3" t="s">
        <v>99</v>
      </c>
      <c r="G50" s="3" t="s">
        <v>54</v>
      </c>
      <c r="H50" s="3"/>
      <c r="I50" s="4">
        <v>2000000000</v>
      </c>
      <c r="J50" s="4">
        <v>474185221</v>
      </c>
      <c r="K50" s="4">
        <v>2474185221</v>
      </c>
      <c r="L50" s="5"/>
      <c r="M50" s="5"/>
      <c r="N50" s="5"/>
      <c r="O50" s="5"/>
      <c r="P50" s="4"/>
      <c r="Q50" s="4"/>
      <c r="R50" s="3"/>
    </row>
    <row r="51" spans="1:18" ht="69.900000000000006" customHeight="1" x14ac:dyDescent="0.3">
      <c r="A51" s="3" t="s">
        <v>473</v>
      </c>
      <c r="B51" s="3" t="s">
        <v>474</v>
      </c>
      <c r="C51" s="3" t="s">
        <v>475</v>
      </c>
      <c r="D51" s="3" t="s">
        <v>476</v>
      </c>
      <c r="E51" s="3" t="s">
        <v>60</v>
      </c>
      <c r="F51" s="3" t="s">
        <v>99</v>
      </c>
      <c r="G51" s="3" t="s">
        <v>54</v>
      </c>
      <c r="H51" s="3"/>
      <c r="I51" s="4">
        <v>5335769261</v>
      </c>
      <c r="J51" s="4">
        <v>577300853</v>
      </c>
      <c r="K51" s="4">
        <v>5913070114</v>
      </c>
      <c r="L51" s="5"/>
      <c r="M51" s="5"/>
      <c r="N51" s="5"/>
      <c r="O51" s="5"/>
      <c r="P51" s="4"/>
      <c r="Q51" s="4"/>
      <c r="R51" s="3"/>
    </row>
    <row r="52" spans="1:18" ht="69.900000000000006" customHeight="1" x14ac:dyDescent="0.3">
      <c r="A52" s="3" t="s">
        <v>477</v>
      </c>
      <c r="B52" s="3" t="s">
        <v>433</v>
      </c>
      <c r="C52" s="3" t="s">
        <v>478</v>
      </c>
      <c r="D52" s="3" t="s">
        <v>479</v>
      </c>
      <c r="E52" s="3" t="s">
        <v>60</v>
      </c>
      <c r="F52" s="3" t="s">
        <v>99</v>
      </c>
      <c r="G52" s="3" t="s">
        <v>54</v>
      </c>
      <c r="H52" s="3"/>
      <c r="I52" s="4">
        <v>4940449374</v>
      </c>
      <c r="J52" s="4">
        <v>263481086</v>
      </c>
      <c r="K52" s="4">
        <v>5203930460</v>
      </c>
      <c r="L52" s="5"/>
      <c r="M52" s="5"/>
      <c r="N52" s="5"/>
      <c r="O52" s="5"/>
      <c r="P52" s="4"/>
      <c r="Q52" s="4"/>
      <c r="R52" s="3"/>
    </row>
    <row r="53" spans="1:18" ht="69.900000000000006" customHeight="1" x14ac:dyDescent="0.3">
      <c r="A53" s="3" t="s">
        <v>480</v>
      </c>
      <c r="B53" s="3" t="s">
        <v>355</v>
      </c>
      <c r="C53" s="3" t="s">
        <v>481</v>
      </c>
      <c r="D53" s="3" t="s">
        <v>482</v>
      </c>
      <c r="E53" s="3" t="s">
        <v>60</v>
      </c>
      <c r="F53" s="3" t="s">
        <v>99</v>
      </c>
      <c r="G53" s="3" t="s">
        <v>67</v>
      </c>
      <c r="H53" s="3"/>
      <c r="I53" s="4">
        <v>1999924866</v>
      </c>
      <c r="J53" s="4">
        <v>1559283349</v>
      </c>
      <c r="K53" s="4">
        <v>3559208215</v>
      </c>
      <c r="L53" s="5"/>
      <c r="M53" s="5"/>
      <c r="N53" s="5"/>
      <c r="O53" s="5"/>
      <c r="P53" s="4"/>
      <c r="Q53" s="4"/>
      <c r="R53" s="3"/>
    </row>
    <row r="54" spans="1:18" ht="69.900000000000006" customHeight="1" x14ac:dyDescent="0.3">
      <c r="A54" s="3" t="s">
        <v>483</v>
      </c>
      <c r="B54" s="3" t="s">
        <v>355</v>
      </c>
      <c r="C54" s="3" t="s">
        <v>484</v>
      </c>
      <c r="D54" s="3" t="s">
        <v>485</v>
      </c>
      <c r="E54" s="3" t="s">
        <v>60</v>
      </c>
      <c r="F54" s="3" t="s">
        <v>99</v>
      </c>
      <c r="G54" s="3" t="s">
        <v>54</v>
      </c>
      <c r="H54" s="3"/>
      <c r="I54" s="4">
        <v>3591118773</v>
      </c>
      <c r="J54" s="4">
        <v>177500000</v>
      </c>
      <c r="K54" s="4">
        <v>3768618773</v>
      </c>
      <c r="L54" s="5"/>
      <c r="M54" s="5"/>
      <c r="N54" s="5"/>
      <c r="O54" s="5"/>
      <c r="P54" s="4"/>
      <c r="Q54" s="4"/>
      <c r="R54" s="3"/>
    </row>
    <row r="55" spans="1:18" ht="69.900000000000006" customHeight="1" x14ac:dyDescent="0.3">
      <c r="A55" s="3" t="s">
        <v>486</v>
      </c>
      <c r="B55" s="3" t="s">
        <v>355</v>
      </c>
      <c r="C55" s="3" t="s">
        <v>487</v>
      </c>
      <c r="D55" s="3" t="s">
        <v>488</v>
      </c>
      <c r="E55" s="3" t="s">
        <v>60</v>
      </c>
      <c r="F55" s="3" t="s">
        <v>99</v>
      </c>
      <c r="G55" s="3" t="s">
        <v>54</v>
      </c>
      <c r="H55" s="3"/>
      <c r="I55" s="4">
        <v>2000000000</v>
      </c>
      <c r="J55" s="4">
        <v>1560969376</v>
      </c>
      <c r="K55" s="4">
        <v>3560969376</v>
      </c>
      <c r="L55" s="5"/>
      <c r="M55" s="5"/>
      <c r="N55" s="5"/>
      <c r="O55" s="5"/>
      <c r="P55" s="4"/>
      <c r="Q55" s="4"/>
      <c r="R55" s="3"/>
    </row>
    <row r="56" spans="1:18" ht="69.900000000000006" customHeight="1" x14ac:dyDescent="0.3">
      <c r="A56" s="3" t="s">
        <v>489</v>
      </c>
      <c r="B56" s="3" t="s">
        <v>433</v>
      </c>
      <c r="C56" s="3" t="s">
        <v>490</v>
      </c>
      <c r="D56" s="3" t="s">
        <v>491</v>
      </c>
      <c r="E56" s="3" t="s">
        <v>60</v>
      </c>
      <c r="F56" s="3" t="s">
        <v>99</v>
      </c>
      <c r="G56" s="3" t="s">
        <v>54</v>
      </c>
      <c r="H56" s="3"/>
      <c r="I56" s="4">
        <v>1999112638.9200001</v>
      </c>
      <c r="J56" s="4">
        <v>857237428</v>
      </c>
      <c r="K56" s="4">
        <v>2856350066.9200001</v>
      </c>
      <c r="L56" s="5"/>
      <c r="M56" s="5"/>
      <c r="N56" s="5"/>
      <c r="O56" s="5"/>
      <c r="P56" s="4"/>
      <c r="Q56" s="4"/>
      <c r="R56" s="3"/>
    </row>
    <row r="57" spans="1:18" ht="69.900000000000006" customHeight="1" x14ac:dyDescent="0.3">
      <c r="A57" s="3" t="s">
        <v>492</v>
      </c>
      <c r="B57" s="3" t="s">
        <v>493</v>
      </c>
      <c r="C57" s="3" t="s">
        <v>494</v>
      </c>
      <c r="D57" s="3" t="s">
        <v>495</v>
      </c>
      <c r="E57" s="3" t="s">
        <v>60</v>
      </c>
      <c r="F57" s="3" t="s">
        <v>99</v>
      </c>
      <c r="G57" s="3" t="s">
        <v>54</v>
      </c>
      <c r="H57" s="3"/>
      <c r="I57" s="4">
        <v>7500000000</v>
      </c>
      <c r="J57" s="4">
        <v>0</v>
      </c>
      <c r="K57" s="4">
        <v>7500000000</v>
      </c>
      <c r="L57" s="5"/>
      <c r="M57" s="5"/>
      <c r="N57" s="5"/>
      <c r="O57" s="5"/>
      <c r="P57" s="4"/>
      <c r="Q57" s="4"/>
      <c r="R57" s="3"/>
    </row>
    <row r="58" spans="1:18" ht="69.900000000000006" customHeight="1" x14ac:dyDescent="0.3">
      <c r="A58" s="3" t="s">
        <v>496</v>
      </c>
      <c r="B58" s="3" t="s">
        <v>387</v>
      </c>
      <c r="C58" s="3" t="s">
        <v>497</v>
      </c>
      <c r="D58" s="3" t="s">
        <v>498</v>
      </c>
      <c r="E58" s="3" t="s">
        <v>60</v>
      </c>
      <c r="F58" s="3" t="s">
        <v>99</v>
      </c>
      <c r="G58" s="3" t="s">
        <v>54</v>
      </c>
      <c r="H58" s="3"/>
      <c r="I58" s="4">
        <v>1999803848</v>
      </c>
      <c r="J58" s="4">
        <v>1394426448</v>
      </c>
      <c r="K58" s="4">
        <v>3394230296</v>
      </c>
      <c r="L58" s="5"/>
      <c r="M58" s="5"/>
      <c r="N58" s="5"/>
      <c r="O58" s="5"/>
      <c r="P58" s="4"/>
      <c r="Q58" s="4"/>
      <c r="R58" s="3"/>
    </row>
    <row r="59" spans="1:18" ht="69.900000000000006" customHeight="1" x14ac:dyDescent="0.3">
      <c r="A59" s="3" t="s">
        <v>499</v>
      </c>
      <c r="B59" s="3" t="s">
        <v>417</v>
      </c>
      <c r="C59" s="3" t="s">
        <v>500</v>
      </c>
      <c r="D59" s="3" t="s">
        <v>501</v>
      </c>
      <c r="E59" s="3" t="s">
        <v>60</v>
      </c>
      <c r="F59" s="3" t="s">
        <v>99</v>
      </c>
      <c r="G59" s="3" t="s">
        <v>54</v>
      </c>
      <c r="H59" s="3"/>
      <c r="I59" s="4">
        <v>1738785560</v>
      </c>
      <c r="J59" s="4">
        <v>607572471</v>
      </c>
      <c r="K59" s="4">
        <v>2346358031</v>
      </c>
      <c r="L59" s="5"/>
      <c r="M59" s="5"/>
      <c r="N59" s="5"/>
      <c r="O59" s="5"/>
      <c r="P59" s="4"/>
      <c r="Q59" s="4"/>
      <c r="R59" s="3"/>
    </row>
    <row r="60" spans="1:18" ht="69.900000000000006" customHeight="1" x14ac:dyDescent="0.3">
      <c r="A60" s="3" t="s">
        <v>502</v>
      </c>
      <c r="B60" s="3" t="s">
        <v>355</v>
      </c>
      <c r="C60" s="3" t="s">
        <v>503</v>
      </c>
      <c r="D60" s="3" t="s">
        <v>504</v>
      </c>
      <c r="E60" s="3" t="s">
        <v>60</v>
      </c>
      <c r="F60" s="3" t="s">
        <v>99</v>
      </c>
      <c r="G60" s="3" t="s">
        <v>54</v>
      </c>
      <c r="H60" s="3"/>
      <c r="I60" s="4">
        <v>1999000000</v>
      </c>
      <c r="J60" s="4">
        <v>512000000</v>
      </c>
      <c r="K60" s="4">
        <v>2511000000</v>
      </c>
      <c r="L60" s="5"/>
      <c r="M60" s="5"/>
      <c r="N60" s="5"/>
      <c r="O60" s="5"/>
      <c r="P60" s="4"/>
      <c r="Q60" s="4"/>
      <c r="R60" s="3"/>
    </row>
    <row r="61" spans="1:18" ht="69.900000000000006" customHeight="1" x14ac:dyDescent="0.3">
      <c r="A61" s="3" t="s">
        <v>505</v>
      </c>
      <c r="B61" s="3" t="s">
        <v>506</v>
      </c>
      <c r="C61" s="3" t="s">
        <v>507</v>
      </c>
      <c r="D61" s="3" t="s">
        <v>508</v>
      </c>
      <c r="E61" s="3" t="s">
        <v>60</v>
      </c>
      <c r="F61" s="3" t="s">
        <v>99</v>
      </c>
      <c r="G61" s="3" t="s">
        <v>54</v>
      </c>
      <c r="H61" s="3"/>
      <c r="I61" s="4">
        <v>1775630700</v>
      </c>
      <c r="J61" s="4">
        <v>118901400</v>
      </c>
      <c r="K61" s="4">
        <v>1894532100</v>
      </c>
      <c r="L61" s="5"/>
      <c r="M61" s="5"/>
      <c r="N61" s="5"/>
      <c r="O61" s="5"/>
      <c r="P61" s="4"/>
      <c r="Q61" s="4"/>
      <c r="R61" s="3"/>
    </row>
    <row r="62" spans="1:18" ht="69.900000000000006" customHeight="1" x14ac:dyDescent="0.3">
      <c r="A62" s="3" t="s">
        <v>509</v>
      </c>
      <c r="B62" s="3" t="s">
        <v>425</v>
      </c>
      <c r="C62" s="3" t="s">
        <v>510</v>
      </c>
      <c r="D62" s="3" t="s">
        <v>511</v>
      </c>
      <c r="E62" s="3" t="s">
        <v>60</v>
      </c>
      <c r="F62" s="3" t="s">
        <v>99</v>
      </c>
      <c r="G62" s="3" t="s">
        <v>54</v>
      </c>
      <c r="H62" s="3"/>
      <c r="I62" s="4">
        <v>750000000</v>
      </c>
      <c r="J62" s="4">
        <v>168904760</v>
      </c>
      <c r="K62" s="4">
        <v>918904760</v>
      </c>
      <c r="L62" s="5"/>
      <c r="M62" s="5"/>
      <c r="N62" s="5"/>
      <c r="O62" s="5"/>
      <c r="P62" s="4"/>
      <c r="Q62" s="4"/>
      <c r="R62" s="3"/>
    </row>
    <row r="63" spans="1:18" ht="69.900000000000006" customHeight="1" x14ac:dyDescent="0.3">
      <c r="A63" s="3" t="s">
        <v>512</v>
      </c>
      <c r="B63" s="3" t="s">
        <v>513</v>
      </c>
      <c r="C63" s="3" t="s">
        <v>514</v>
      </c>
      <c r="D63" s="3" t="s">
        <v>515</v>
      </c>
      <c r="E63" s="3" t="s">
        <v>60</v>
      </c>
      <c r="F63" s="3" t="s">
        <v>99</v>
      </c>
      <c r="G63" s="3" t="s">
        <v>54</v>
      </c>
      <c r="H63" s="3"/>
      <c r="I63" s="4">
        <v>2828005287</v>
      </c>
      <c r="J63" s="4">
        <v>241611863</v>
      </c>
      <c r="K63" s="4">
        <v>3069617150</v>
      </c>
      <c r="L63" s="5"/>
      <c r="M63" s="5"/>
      <c r="N63" s="5"/>
      <c r="O63" s="5"/>
      <c r="P63" s="4"/>
      <c r="Q63" s="4"/>
      <c r="R63" s="3"/>
    </row>
    <row r="64" spans="1:18" ht="69.900000000000006" customHeight="1" x14ac:dyDescent="0.3">
      <c r="A64" s="3" t="s">
        <v>516</v>
      </c>
      <c r="B64" s="3" t="s">
        <v>290</v>
      </c>
      <c r="C64" s="3" t="s">
        <v>517</v>
      </c>
      <c r="D64" s="3" t="s">
        <v>518</v>
      </c>
      <c r="E64" s="3" t="s">
        <v>74</v>
      </c>
      <c r="F64" s="3" t="s">
        <v>519</v>
      </c>
      <c r="G64" s="3" t="s">
        <v>54</v>
      </c>
      <c r="H64" s="3"/>
      <c r="I64" s="4">
        <v>69047758069</v>
      </c>
      <c r="J64" s="4">
        <v>0</v>
      </c>
      <c r="K64" s="4">
        <v>69047758069</v>
      </c>
      <c r="L64" s="5"/>
      <c r="M64" s="5"/>
      <c r="N64" s="5"/>
      <c r="O64" s="5"/>
      <c r="P64" s="4"/>
      <c r="Q64" s="4"/>
      <c r="R64" s="3"/>
    </row>
    <row r="65" spans="1:18" ht="69.900000000000006" customHeight="1" x14ac:dyDescent="0.3">
      <c r="A65" s="3" t="s">
        <v>520</v>
      </c>
      <c r="B65" s="3" t="s">
        <v>359</v>
      </c>
      <c r="C65" s="3" t="s">
        <v>521</v>
      </c>
      <c r="D65" s="3" t="s">
        <v>522</v>
      </c>
      <c r="E65" s="3" t="s">
        <v>60</v>
      </c>
      <c r="F65" s="3" t="s">
        <v>99</v>
      </c>
      <c r="G65" s="3" t="s">
        <v>54</v>
      </c>
      <c r="H65" s="3"/>
      <c r="I65" s="4">
        <v>17635937500</v>
      </c>
      <c r="J65" s="4">
        <v>782206000</v>
      </c>
      <c r="K65" s="4">
        <v>18418143500</v>
      </c>
      <c r="L65" s="5"/>
      <c r="M65" s="5"/>
      <c r="N65" s="5"/>
      <c r="O65" s="5"/>
      <c r="P65" s="4"/>
      <c r="Q65" s="4"/>
      <c r="R65" s="3"/>
    </row>
    <row r="66" spans="1:18" ht="69.900000000000006" customHeight="1" x14ac:dyDescent="0.3">
      <c r="A66" s="3" t="s">
        <v>523</v>
      </c>
      <c r="B66" s="3" t="s">
        <v>347</v>
      </c>
      <c r="C66" s="3" t="s">
        <v>524</v>
      </c>
      <c r="D66" s="3" t="s">
        <v>525</v>
      </c>
      <c r="E66" s="3" t="s">
        <v>60</v>
      </c>
      <c r="F66" s="3" t="s">
        <v>99</v>
      </c>
      <c r="G66" s="3" t="s">
        <v>54</v>
      </c>
      <c r="H66" s="3"/>
      <c r="I66" s="4">
        <v>1309600000</v>
      </c>
      <c r="J66" s="4">
        <v>210350000</v>
      </c>
      <c r="K66" s="4">
        <v>1519950000</v>
      </c>
      <c r="L66" s="5"/>
      <c r="M66" s="5"/>
      <c r="N66" s="5"/>
      <c r="O66" s="5"/>
      <c r="P66" s="4"/>
      <c r="Q66" s="4"/>
      <c r="R66" s="3"/>
    </row>
    <row r="67" spans="1:18" ht="69.900000000000006" customHeight="1" x14ac:dyDescent="0.3">
      <c r="A67" s="3" t="s">
        <v>526</v>
      </c>
      <c r="B67" s="3" t="s">
        <v>433</v>
      </c>
      <c r="C67" s="3" t="s">
        <v>527</v>
      </c>
      <c r="D67" s="3" t="s">
        <v>528</v>
      </c>
      <c r="E67" s="3" t="s">
        <v>60</v>
      </c>
      <c r="F67" s="3" t="s">
        <v>99</v>
      </c>
      <c r="G67" s="3" t="s">
        <v>54</v>
      </c>
      <c r="H67" s="3"/>
      <c r="I67" s="4">
        <v>2750000000</v>
      </c>
      <c r="J67" s="4">
        <v>25000000</v>
      </c>
      <c r="K67" s="4">
        <v>2775000000</v>
      </c>
      <c r="L67" s="5"/>
      <c r="M67" s="5"/>
      <c r="N67" s="5"/>
      <c r="O67" s="5"/>
      <c r="P67" s="4"/>
      <c r="Q67" s="4"/>
      <c r="R67" s="3"/>
    </row>
    <row r="68" spans="1:18" ht="69.900000000000006" customHeight="1" x14ac:dyDescent="0.3">
      <c r="A68" s="3" t="s">
        <v>529</v>
      </c>
      <c r="B68" s="3" t="s">
        <v>371</v>
      </c>
      <c r="C68" s="3" t="s">
        <v>530</v>
      </c>
      <c r="D68" s="3" t="s">
        <v>531</v>
      </c>
      <c r="E68" s="3" t="s">
        <v>60</v>
      </c>
      <c r="F68" s="3" t="s">
        <v>99</v>
      </c>
      <c r="G68" s="3" t="s">
        <v>54</v>
      </c>
      <c r="H68" s="3"/>
      <c r="I68" s="4">
        <v>1500000000</v>
      </c>
      <c r="J68" s="4">
        <v>353734000</v>
      </c>
      <c r="K68" s="4">
        <v>1853734000</v>
      </c>
      <c r="L68" s="5"/>
      <c r="M68" s="5"/>
      <c r="N68" s="5"/>
      <c r="O68" s="5"/>
      <c r="P68" s="4"/>
      <c r="Q68" s="4"/>
      <c r="R68" s="3"/>
    </row>
    <row r="69" spans="1:18" ht="69.900000000000006" customHeight="1" x14ac:dyDescent="0.3">
      <c r="A69" s="3" t="s">
        <v>532</v>
      </c>
      <c r="B69" s="3" t="s">
        <v>379</v>
      </c>
      <c r="C69" s="3" t="s">
        <v>533</v>
      </c>
      <c r="D69" s="3" t="s">
        <v>534</v>
      </c>
      <c r="E69" s="3" t="s">
        <v>60</v>
      </c>
      <c r="F69" s="3" t="s">
        <v>99</v>
      </c>
      <c r="G69" s="3" t="s">
        <v>54</v>
      </c>
      <c r="H69" s="3"/>
      <c r="I69" s="4">
        <v>1411798728</v>
      </c>
      <c r="J69" s="4">
        <v>120549808</v>
      </c>
      <c r="K69" s="4">
        <v>1532348536</v>
      </c>
      <c r="L69" s="5"/>
      <c r="M69" s="5"/>
      <c r="N69" s="5"/>
      <c r="O69" s="5"/>
      <c r="P69" s="4"/>
      <c r="Q69" s="4"/>
      <c r="R69" s="3"/>
    </row>
    <row r="70" spans="1:18" ht="69.900000000000006" customHeight="1" x14ac:dyDescent="0.3">
      <c r="A70" s="3" t="s">
        <v>535</v>
      </c>
      <c r="B70" s="3" t="s">
        <v>536</v>
      </c>
      <c r="C70" s="3" t="s">
        <v>537</v>
      </c>
      <c r="D70" s="3" t="s">
        <v>538</v>
      </c>
      <c r="E70" s="3" t="s">
        <v>60</v>
      </c>
      <c r="F70" s="3" t="s">
        <v>99</v>
      </c>
      <c r="G70" s="3" t="s">
        <v>54</v>
      </c>
      <c r="H70" s="3"/>
      <c r="I70" s="4">
        <v>1999997728</v>
      </c>
      <c r="J70" s="4">
        <v>663234720</v>
      </c>
      <c r="K70" s="4">
        <v>2663232448</v>
      </c>
      <c r="L70" s="5"/>
      <c r="M70" s="5"/>
      <c r="N70" s="5"/>
      <c r="O70" s="5"/>
      <c r="P70" s="4"/>
      <c r="Q70" s="4"/>
      <c r="R70" s="3"/>
    </row>
    <row r="71" spans="1:18" ht="69.900000000000006" customHeight="1" x14ac:dyDescent="0.3">
      <c r="A71" s="3" t="s">
        <v>539</v>
      </c>
      <c r="B71" s="3" t="s">
        <v>433</v>
      </c>
      <c r="C71" s="3" t="s">
        <v>540</v>
      </c>
      <c r="D71" s="3" t="s">
        <v>541</v>
      </c>
      <c r="E71" s="3" t="s">
        <v>60</v>
      </c>
      <c r="F71" s="3" t="s">
        <v>99</v>
      </c>
      <c r="G71" s="3" t="s">
        <v>54</v>
      </c>
      <c r="H71" s="3"/>
      <c r="I71" s="4">
        <v>1999667231.96</v>
      </c>
      <c r="J71" s="4">
        <v>1036153791.2</v>
      </c>
      <c r="K71" s="4">
        <v>3035821023.1599998</v>
      </c>
      <c r="L71" s="5"/>
      <c r="M71" s="5"/>
      <c r="N71" s="5"/>
      <c r="O71" s="5"/>
      <c r="P71" s="4"/>
      <c r="Q71" s="4"/>
      <c r="R71" s="3"/>
    </row>
    <row r="72" spans="1:18" ht="69.900000000000006" customHeight="1" x14ac:dyDescent="0.3">
      <c r="A72" s="3" t="s">
        <v>542</v>
      </c>
      <c r="B72" s="3" t="s">
        <v>433</v>
      </c>
      <c r="C72" s="3" t="s">
        <v>543</v>
      </c>
      <c r="D72" s="3" t="s">
        <v>544</v>
      </c>
      <c r="E72" s="3" t="s">
        <v>60</v>
      </c>
      <c r="F72" s="3" t="s">
        <v>99</v>
      </c>
      <c r="G72" s="3" t="s">
        <v>122</v>
      </c>
      <c r="H72" s="3"/>
      <c r="I72" s="4">
        <v>2000000000</v>
      </c>
      <c r="J72" s="4">
        <v>896725569</v>
      </c>
      <c r="K72" s="4">
        <v>2896725569</v>
      </c>
      <c r="L72" s="5"/>
      <c r="M72" s="5"/>
      <c r="N72" s="5"/>
      <c r="O72" s="5"/>
      <c r="P72" s="4"/>
      <c r="Q72" s="4"/>
      <c r="R72" s="3"/>
    </row>
    <row r="73" spans="1:18" ht="69.900000000000006" customHeight="1" x14ac:dyDescent="0.3">
      <c r="A73" s="3" t="s">
        <v>545</v>
      </c>
      <c r="B73" s="3" t="s">
        <v>387</v>
      </c>
      <c r="C73" s="3" t="s">
        <v>546</v>
      </c>
      <c r="D73" s="3" t="s">
        <v>547</v>
      </c>
      <c r="E73" s="3" t="s">
        <v>60</v>
      </c>
      <c r="F73" s="3" t="s">
        <v>99</v>
      </c>
      <c r="G73" s="3" t="s">
        <v>54</v>
      </c>
      <c r="H73" s="3"/>
      <c r="I73" s="4">
        <v>1953855779</v>
      </c>
      <c r="J73" s="4">
        <v>505920337</v>
      </c>
      <c r="K73" s="4">
        <v>2459776116</v>
      </c>
      <c r="L73" s="5"/>
      <c r="M73" s="5"/>
      <c r="N73" s="5"/>
      <c r="O73" s="5"/>
      <c r="P73" s="4"/>
      <c r="Q73" s="4"/>
      <c r="R73" s="3"/>
    </row>
    <row r="74" spans="1:18" ht="69.900000000000006" customHeight="1" x14ac:dyDescent="0.3">
      <c r="A74" s="3" t="s">
        <v>548</v>
      </c>
      <c r="B74" s="3" t="s">
        <v>355</v>
      </c>
      <c r="C74" s="3" t="s">
        <v>549</v>
      </c>
      <c r="D74" s="3" t="s">
        <v>550</v>
      </c>
      <c r="E74" s="3" t="s">
        <v>60</v>
      </c>
      <c r="F74" s="3" t="s">
        <v>99</v>
      </c>
      <c r="G74" s="3" t="s">
        <v>67</v>
      </c>
      <c r="H74" s="3"/>
      <c r="I74" s="4">
        <v>4351936180</v>
      </c>
      <c r="J74" s="4">
        <v>100000000</v>
      </c>
      <c r="K74" s="4">
        <v>4451936180</v>
      </c>
      <c r="L74" s="5"/>
      <c r="M74" s="5"/>
      <c r="N74" s="5"/>
      <c r="O74" s="5"/>
      <c r="P74" s="4"/>
      <c r="Q74" s="4"/>
      <c r="R74" s="3"/>
    </row>
    <row r="75" spans="1:18" ht="69.900000000000006" customHeight="1" x14ac:dyDescent="0.3">
      <c r="A75" s="3" t="s">
        <v>551</v>
      </c>
      <c r="B75" s="3" t="s">
        <v>355</v>
      </c>
      <c r="C75" s="3" t="s">
        <v>552</v>
      </c>
      <c r="D75" s="3" t="s">
        <v>553</v>
      </c>
      <c r="E75" s="3" t="s">
        <v>60</v>
      </c>
      <c r="F75" s="3" t="s">
        <v>99</v>
      </c>
      <c r="G75" s="3" t="s">
        <v>54</v>
      </c>
      <c r="H75" s="3"/>
      <c r="I75" s="4">
        <v>19906880779</v>
      </c>
      <c r="J75" s="4">
        <v>72000000</v>
      </c>
      <c r="K75" s="4">
        <v>19978880779</v>
      </c>
      <c r="L75" s="5"/>
      <c r="M75" s="5"/>
      <c r="N75" s="5"/>
      <c r="O75" s="5"/>
      <c r="P75" s="4"/>
      <c r="Q75" s="4"/>
      <c r="R75" s="3"/>
    </row>
    <row r="76" spans="1:18" ht="69.900000000000006" customHeight="1" x14ac:dyDescent="0.3">
      <c r="A76" s="3" t="s">
        <v>554</v>
      </c>
      <c r="B76" s="3" t="s">
        <v>329</v>
      </c>
      <c r="C76" s="3" t="s">
        <v>555</v>
      </c>
      <c r="D76" s="3" t="s">
        <v>556</v>
      </c>
      <c r="E76" s="3" t="s">
        <v>144</v>
      </c>
      <c r="F76" s="3" t="s">
        <v>145</v>
      </c>
      <c r="G76" s="3" t="s">
        <v>67</v>
      </c>
      <c r="H76" s="3"/>
      <c r="I76" s="4">
        <v>3981132848.27</v>
      </c>
      <c r="J76" s="4">
        <v>0</v>
      </c>
      <c r="K76" s="4">
        <v>3981132848.27</v>
      </c>
      <c r="L76" s="5"/>
      <c r="M76" s="5"/>
      <c r="N76" s="5"/>
      <c r="O76" s="5"/>
      <c r="P76" s="4"/>
      <c r="Q76" s="4"/>
      <c r="R76" s="3"/>
    </row>
    <row r="77" spans="1:18" ht="69.900000000000006" customHeight="1" x14ac:dyDescent="0.3">
      <c r="A77" s="3" t="s">
        <v>557</v>
      </c>
      <c r="B77" s="3" t="s">
        <v>558</v>
      </c>
      <c r="C77" s="3" t="s">
        <v>559</v>
      </c>
      <c r="D77" s="3"/>
      <c r="E77" s="3" t="s">
        <v>74</v>
      </c>
      <c r="F77" s="3" t="s">
        <v>560</v>
      </c>
      <c r="G77" s="3" t="s">
        <v>177</v>
      </c>
      <c r="H77" s="3"/>
      <c r="I77" s="4">
        <v>2407058486</v>
      </c>
      <c r="J77" s="4">
        <v>216768.82000017169</v>
      </c>
      <c r="K77" s="4">
        <v>2407275254.8200002</v>
      </c>
      <c r="L77" s="5"/>
      <c r="M77" s="5"/>
      <c r="N77" s="5"/>
      <c r="O77" s="5"/>
      <c r="P77" s="4"/>
      <c r="Q77" s="4"/>
      <c r="R77" s="3"/>
    </row>
    <row r="78" spans="1:18" ht="69.900000000000006" customHeight="1" x14ac:dyDescent="0.3">
      <c r="A78" s="3" t="s">
        <v>561</v>
      </c>
      <c r="B78" s="3" t="s">
        <v>329</v>
      </c>
      <c r="C78" s="3" t="s">
        <v>562</v>
      </c>
      <c r="D78" s="3" t="s">
        <v>563</v>
      </c>
      <c r="E78" s="3" t="s">
        <v>74</v>
      </c>
      <c r="F78" s="3" t="s">
        <v>564</v>
      </c>
      <c r="G78" s="3" t="s">
        <v>54</v>
      </c>
      <c r="H78" s="3"/>
      <c r="I78" s="4">
        <v>45601872749</v>
      </c>
      <c r="J78" s="4">
        <v>0</v>
      </c>
      <c r="K78" s="4">
        <v>45601872749</v>
      </c>
      <c r="L78" s="5"/>
      <c r="M78" s="5"/>
      <c r="N78" s="5"/>
      <c r="O78" s="5"/>
      <c r="P78" s="4"/>
      <c r="Q78" s="4"/>
      <c r="R78" s="3"/>
    </row>
    <row r="79" spans="1:18" ht="69.900000000000006" customHeight="1" x14ac:dyDescent="0.3">
      <c r="A79" s="3" t="s">
        <v>565</v>
      </c>
      <c r="B79" s="3" t="s">
        <v>566</v>
      </c>
      <c r="C79" s="3" t="s">
        <v>567</v>
      </c>
      <c r="D79" s="3" t="s">
        <v>568</v>
      </c>
      <c r="E79" s="3" t="s">
        <v>74</v>
      </c>
      <c r="F79" s="3" t="s">
        <v>76</v>
      </c>
      <c r="G79" s="3" t="s">
        <v>67</v>
      </c>
      <c r="H79" s="3"/>
      <c r="I79" s="4">
        <v>2489078661</v>
      </c>
      <c r="J79" s="4">
        <v>0</v>
      </c>
      <c r="K79" s="4">
        <v>2489078661</v>
      </c>
      <c r="L79" s="5"/>
      <c r="M79" s="5"/>
      <c r="N79" s="5"/>
      <c r="O79" s="5"/>
      <c r="P79" s="4"/>
      <c r="Q79" s="4"/>
      <c r="R79" s="3"/>
    </row>
    <row r="80" spans="1:18" ht="69.900000000000006" customHeight="1" x14ac:dyDescent="0.3">
      <c r="A80" s="3" t="s">
        <v>569</v>
      </c>
      <c r="B80" s="3" t="s">
        <v>570</v>
      </c>
      <c r="C80" s="3" t="s">
        <v>571</v>
      </c>
      <c r="D80" s="3" t="s">
        <v>572</v>
      </c>
      <c r="E80" s="3" t="s">
        <v>74</v>
      </c>
      <c r="F80" s="3" t="s">
        <v>76</v>
      </c>
      <c r="G80" s="3" t="s">
        <v>54</v>
      </c>
      <c r="H80" s="3"/>
      <c r="I80" s="4">
        <v>18036167387.900002</v>
      </c>
      <c r="J80" s="4">
        <v>0</v>
      </c>
      <c r="K80" s="4">
        <v>18036167387.900002</v>
      </c>
      <c r="L80" s="5"/>
      <c r="M80" s="5"/>
      <c r="N80" s="5"/>
      <c r="O80" s="5"/>
      <c r="P80" s="4"/>
      <c r="Q80" s="4"/>
      <c r="R80" s="3"/>
    </row>
    <row r="81" spans="1:18" ht="69.900000000000006" customHeight="1" x14ac:dyDescent="0.3">
      <c r="A81" s="3" t="s">
        <v>573</v>
      </c>
      <c r="B81" s="3" t="s">
        <v>566</v>
      </c>
      <c r="C81" s="3" t="s">
        <v>574</v>
      </c>
      <c r="D81" s="3" t="s">
        <v>575</v>
      </c>
      <c r="E81" s="3" t="s">
        <v>74</v>
      </c>
      <c r="F81" s="3" t="s">
        <v>105</v>
      </c>
      <c r="G81" s="3" t="s">
        <v>54</v>
      </c>
      <c r="H81" s="3"/>
      <c r="I81" s="4">
        <v>41816156185</v>
      </c>
      <c r="J81" s="4">
        <v>0</v>
      </c>
      <c r="K81" s="4">
        <v>41816156185</v>
      </c>
      <c r="L81" s="5"/>
      <c r="M81" s="5"/>
      <c r="N81" s="5"/>
      <c r="O81" s="5"/>
      <c r="P81" s="4"/>
      <c r="Q81" s="4"/>
      <c r="R81" s="3"/>
    </row>
    <row r="82" spans="1:18" ht="69.900000000000006" customHeight="1" x14ac:dyDescent="0.3">
      <c r="A82" s="3" t="s">
        <v>576</v>
      </c>
      <c r="B82" s="3" t="s">
        <v>355</v>
      </c>
      <c r="C82" s="3" t="s">
        <v>577</v>
      </c>
      <c r="D82" s="3" t="s">
        <v>578</v>
      </c>
      <c r="E82" s="3" t="s">
        <v>60</v>
      </c>
      <c r="F82" s="3" t="s">
        <v>99</v>
      </c>
      <c r="G82" s="3" t="s">
        <v>54</v>
      </c>
      <c r="H82" s="3"/>
      <c r="I82" s="4">
        <v>9606506835</v>
      </c>
      <c r="J82" s="4">
        <v>90000000</v>
      </c>
      <c r="K82" s="4">
        <v>9696506835</v>
      </c>
      <c r="L82" s="5"/>
      <c r="M82" s="5"/>
      <c r="N82" s="5"/>
      <c r="O82" s="5"/>
      <c r="P82" s="4"/>
      <c r="Q82" s="4"/>
      <c r="R82" s="3"/>
    </row>
    <row r="83" spans="1:18" ht="69.900000000000006" customHeight="1" x14ac:dyDescent="0.3">
      <c r="A83" s="3" t="s">
        <v>579</v>
      </c>
      <c r="B83" s="3" t="s">
        <v>580</v>
      </c>
      <c r="C83" s="3" t="s">
        <v>581</v>
      </c>
      <c r="D83" s="3" t="s">
        <v>582</v>
      </c>
      <c r="E83" s="3" t="s">
        <v>60</v>
      </c>
      <c r="F83" s="3" t="s">
        <v>99</v>
      </c>
      <c r="G83" s="3" t="s">
        <v>67</v>
      </c>
      <c r="H83" s="3"/>
      <c r="I83" s="4">
        <v>500000000</v>
      </c>
      <c r="J83" s="4">
        <v>85470000</v>
      </c>
      <c r="K83" s="4">
        <v>585470000</v>
      </c>
      <c r="L83" s="5"/>
      <c r="M83" s="5"/>
      <c r="N83" s="5"/>
      <c r="O83" s="5"/>
      <c r="P83" s="4"/>
      <c r="Q83" s="4"/>
      <c r="R83" s="3"/>
    </row>
    <row r="84" spans="1:18" ht="69.900000000000006" customHeight="1" x14ac:dyDescent="0.3">
      <c r="A84" s="3" t="s">
        <v>583</v>
      </c>
      <c r="B84" s="3" t="s">
        <v>584</v>
      </c>
      <c r="C84" s="3" t="s">
        <v>585</v>
      </c>
      <c r="D84" s="3" t="s">
        <v>586</v>
      </c>
      <c r="E84" s="3" t="s">
        <v>60</v>
      </c>
      <c r="F84" s="3" t="s">
        <v>99</v>
      </c>
      <c r="G84" s="3" t="s">
        <v>54</v>
      </c>
      <c r="H84" s="3"/>
      <c r="I84" s="4">
        <v>4299593384</v>
      </c>
      <c r="J84" s="4">
        <v>126145067</v>
      </c>
      <c r="K84" s="4">
        <v>4425738451</v>
      </c>
      <c r="L84" s="5"/>
      <c r="M84" s="5"/>
      <c r="N84" s="5"/>
      <c r="O84" s="5"/>
      <c r="P84" s="4"/>
      <c r="Q84" s="4"/>
      <c r="R84" s="3"/>
    </row>
    <row r="85" spans="1:18" ht="69.900000000000006" customHeight="1" x14ac:dyDescent="0.3">
      <c r="A85" s="3" t="s">
        <v>587</v>
      </c>
      <c r="B85" s="3" t="s">
        <v>588</v>
      </c>
      <c r="C85" s="3" t="s">
        <v>589</v>
      </c>
      <c r="D85" s="3" t="s">
        <v>590</v>
      </c>
      <c r="E85" s="3" t="s">
        <v>119</v>
      </c>
      <c r="F85" s="3" t="s">
        <v>76</v>
      </c>
      <c r="G85" s="3" t="s">
        <v>54</v>
      </c>
      <c r="H85" s="3"/>
      <c r="I85" s="4">
        <v>29623316906.279999</v>
      </c>
      <c r="J85" s="4">
        <v>0</v>
      </c>
      <c r="K85" s="4">
        <v>29623316906.279999</v>
      </c>
      <c r="L85" s="5"/>
      <c r="M85" s="5"/>
      <c r="N85" s="5"/>
      <c r="O85" s="5"/>
      <c r="P85" s="4"/>
      <c r="Q85" s="4"/>
      <c r="R85" s="3"/>
    </row>
    <row r="86" spans="1:18" ht="69.900000000000006" customHeight="1" x14ac:dyDescent="0.3">
      <c r="A86" s="3" t="s">
        <v>591</v>
      </c>
      <c r="B86" s="3" t="s">
        <v>592</v>
      </c>
      <c r="C86" s="3" t="s">
        <v>593</v>
      </c>
      <c r="D86" s="3" t="s">
        <v>594</v>
      </c>
      <c r="E86" s="3" t="s">
        <v>74</v>
      </c>
      <c r="F86" s="3" t="s">
        <v>105</v>
      </c>
      <c r="G86" s="3" t="s">
        <v>54</v>
      </c>
      <c r="H86" s="3"/>
      <c r="I86" s="4">
        <v>30461715692</v>
      </c>
      <c r="J86" s="4">
        <v>0</v>
      </c>
      <c r="K86" s="4">
        <v>30461715692</v>
      </c>
      <c r="L86" s="5"/>
      <c r="M86" s="5"/>
      <c r="N86" s="5"/>
      <c r="O86" s="5"/>
      <c r="P86" s="4"/>
      <c r="Q86" s="4"/>
      <c r="R86" s="3"/>
    </row>
    <row r="87" spans="1:18" ht="69.900000000000006" customHeight="1" x14ac:dyDescent="0.3">
      <c r="A87" s="3" t="s">
        <v>595</v>
      </c>
      <c r="B87" s="3" t="s">
        <v>596</v>
      </c>
      <c r="C87" s="3" t="s">
        <v>597</v>
      </c>
      <c r="D87" s="3" t="s">
        <v>598</v>
      </c>
      <c r="E87" s="3" t="s">
        <v>60</v>
      </c>
      <c r="F87" s="3" t="s">
        <v>99</v>
      </c>
      <c r="G87" s="3" t="s">
        <v>54</v>
      </c>
      <c r="H87" s="3"/>
      <c r="I87" s="4">
        <v>17454000000</v>
      </c>
      <c r="J87" s="4">
        <v>307000000</v>
      </c>
      <c r="K87" s="4">
        <v>17761000000</v>
      </c>
      <c r="L87" s="5"/>
      <c r="M87" s="5"/>
      <c r="N87" s="5"/>
      <c r="O87" s="5"/>
      <c r="P87" s="4"/>
      <c r="Q87" s="4"/>
      <c r="R87" s="3"/>
    </row>
    <row r="88" spans="1:18" ht="69.900000000000006" customHeight="1" x14ac:dyDescent="0.3">
      <c r="A88" s="3" t="s">
        <v>599</v>
      </c>
      <c r="B88" s="3" t="s">
        <v>600</v>
      </c>
      <c r="C88" s="3" t="s">
        <v>601</v>
      </c>
      <c r="D88" s="3" t="s">
        <v>602</v>
      </c>
      <c r="E88" s="3" t="s">
        <v>60</v>
      </c>
      <c r="F88" s="3" t="s">
        <v>116</v>
      </c>
      <c r="G88" s="3" t="s">
        <v>54</v>
      </c>
      <c r="H88" s="3"/>
      <c r="I88" s="4">
        <v>8419333809</v>
      </c>
      <c r="J88" s="4">
        <v>1511453285</v>
      </c>
      <c r="K88" s="4">
        <v>9930787094</v>
      </c>
      <c r="L88" s="5"/>
      <c r="M88" s="5"/>
      <c r="N88" s="5"/>
      <c r="O88" s="5"/>
      <c r="P88" s="4"/>
      <c r="Q88" s="4"/>
      <c r="R88" s="3"/>
    </row>
    <row r="89" spans="1:18" ht="69.900000000000006" customHeight="1" x14ac:dyDescent="0.3">
      <c r="A89" s="3" t="s">
        <v>603</v>
      </c>
      <c r="B89" s="3" t="s">
        <v>604</v>
      </c>
      <c r="C89" s="3" t="s">
        <v>605</v>
      </c>
      <c r="D89" s="3" t="s">
        <v>606</v>
      </c>
      <c r="E89" s="3" t="s">
        <v>182</v>
      </c>
      <c r="F89" s="3" t="s">
        <v>607</v>
      </c>
      <c r="G89" s="3" t="s">
        <v>54</v>
      </c>
      <c r="H89" s="3"/>
      <c r="I89" s="4">
        <v>94461519789</v>
      </c>
      <c r="J89" s="4">
        <v>0</v>
      </c>
      <c r="K89" s="4">
        <v>94461519789</v>
      </c>
      <c r="L89" s="5"/>
      <c r="M89" s="5"/>
      <c r="N89" s="5"/>
      <c r="O89" s="5"/>
      <c r="P89" s="4"/>
      <c r="Q89" s="4"/>
      <c r="R89" s="3"/>
    </row>
    <row r="90" spans="1:18" ht="69.900000000000006" customHeight="1" x14ac:dyDescent="0.3">
      <c r="A90" s="3" t="s">
        <v>608</v>
      </c>
      <c r="B90" s="3" t="s">
        <v>425</v>
      </c>
      <c r="C90" s="3" t="s">
        <v>609</v>
      </c>
      <c r="D90" s="3" t="s">
        <v>610</v>
      </c>
      <c r="E90" s="3" t="s">
        <v>60</v>
      </c>
      <c r="F90" s="3" t="s">
        <v>611</v>
      </c>
      <c r="G90" s="3" t="s">
        <v>54</v>
      </c>
      <c r="H90" s="3"/>
      <c r="I90" s="4">
        <v>3362968761</v>
      </c>
      <c r="J90" s="4">
        <v>1180580884</v>
      </c>
      <c r="K90" s="4">
        <v>4543549645</v>
      </c>
      <c r="L90" s="5"/>
      <c r="M90" s="5"/>
      <c r="N90" s="5"/>
      <c r="O90" s="5"/>
      <c r="P90" s="4"/>
      <c r="Q90" s="4"/>
      <c r="R90" s="3"/>
    </row>
    <row r="91" spans="1:18" ht="69.900000000000006" customHeight="1" x14ac:dyDescent="0.3">
      <c r="A91" s="3" t="s">
        <v>612</v>
      </c>
      <c r="B91" s="3" t="s">
        <v>506</v>
      </c>
      <c r="C91" s="3" t="s">
        <v>613</v>
      </c>
      <c r="D91" s="3" t="s">
        <v>614</v>
      </c>
      <c r="E91" s="3" t="s">
        <v>60</v>
      </c>
      <c r="F91" s="3" t="s">
        <v>99</v>
      </c>
      <c r="G91" s="3" t="s">
        <v>54</v>
      </c>
      <c r="H91" s="3"/>
      <c r="I91" s="4">
        <v>23600000000</v>
      </c>
      <c r="J91" s="4">
        <v>918488200</v>
      </c>
      <c r="K91" s="4">
        <v>24518488200</v>
      </c>
      <c r="L91" s="5"/>
      <c r="M91" s="5"/>
      <c r="N91" s="5"/>
      <c r="O91" s="5"/>
      <c r="P91" s="4"/>
      <c r="Q91" s="4"/>
      <c r="R91" s="3"/>
    </row>
    <row r="92" spans="1:18" ht="69.900000000000006" customHeight="1" x14ac:dyDescent="0.3">
      <c r="A92" s="3" t="s">
        <v>615</v>
      </c>
      <c r="B92" s="3" t="s">
        <v>343</v>
      </c>
      <c r="C92" s="3" t="s">
        <v>616</v>
      </c>
      <c r="D92" s="3" t="s">
        <v>617</v>
      </c>
      <c r="E92" s="3" t="s">
        <v>60</v>
      </c>
      <c r="F92" s="3" t="s">
        <v>116</v>
      </c>
      <c r="G92" s="3" t="s">
        <v>54</v>
      </c>
      <c r="H92" s="3"/>
      <c r="I92" s="4">
        <v>30000000000</v>
      </c>
      <c r="J92" s="4">
        <v>1068885740</v>
      </c>
      <c r="K92" s="4">
        <v>31068885740</v>
      </c>
      <c r="L92" s="5"/>
      <c r="M92" s="5"/>
      <c r="N92" s="5"/>
      <c r="O92" s="5"/>
      <c r="P92" s="4"/>
      <c r="Q92" s="4"/>
      <c r="R92" s="3"/>
    </row>
    <row r="93" spans="1:18" ht="69.900000000000006" customHeight="1" x14ac:dyDescent="0.3">
      <c r="A93" s="3" t="s">
        <v>618</v>
      </c>
      <c r="B93" s="3" t="s">
        <v>433</v>
      </c>
      <c r="C93" s="3" t="s">
        <v>619</v>
      </c>
      <c r="D93" s="3"/>
      <c r="E93" s="3" t="s">
        <v>60</v>
      </c>
      <c r="F93" s="3" t="s">
        <v>116</v>
      </c>
      <c r="G93" s="3" t="s">
        <v>54</v>
      </c>
      <c r="H93" s="3"/>
      <c r="I93" s="4">
        <v>30000000000</v>
      </c>
      <c r="J93" s="4">
        <v>899136874.04999924</v>
      </c>
      <c r="K93" s="4">
        <v>30899136874.049999</v>
      </c>
      <c r="L93" s="5"/>
      <c r="M93" s="5"/>
      <c r="N93" s="5"/>
      <c r="O93" s="5"/>
      <c r="P93" s="4"/>
      <c r="Q93" s="4"/>
      <c r="R93" s="3"/>
    </row>
    <row r="94" spans="1:18" ht="69.900000000000006" customHeight="1" x14ac:dyDescent="0.3">
      <c r="A94" s="3" t="s">
        <v>620</v>
      </c>
      <c r="B94" s="3" t="s">
        <v>621</v>
      </c>
      <c r="C94" s="3" t="s">
        <v>622</v>
      </c>
      <c r="D94" s="3"/>
      <c r="E94" s="3" t="s">
        <v>125</v>
      </c>
      <c r="F94" s="3" t="s">
        <v>145</v>
      </c>
      <c r="G94" s="3" t="s">
        <v>187</v>
      </c>
      <c r="H94" s="3"/>
      <c r="I94" s="4">
        <v>172253454</v>
      </c>
      <c r="J94" s="4">
        <v>0</v>
      </c>
      <c r="K94" s="4">
        <v>172253454</v>
      </c>
      <c r="L94" s="5"/>
      <c r="M94" s="5"/>
      <c r="N94" s="5"/>
      <c r="O94" s="5"/>
      <c r="P94" s="4"/>
      <c r="Q94" s="4"/>
      <c r="R94" s="3"/>
    </row>
    <row r="95" spans="1:18" ht="69.900000000000006" customHeight="1" x14ac:dyDescent="0.3">
      <c r="A95" s="3" t="s">
        <v>623</v>
      </c>
      <c r="B95" s="3" t="s">
        <v>624</v>
      </c>
      <c r="C95" s="3" t="s">
        <v>625</v>
      </c>
      <c r="D95" s="3" t="s">
        <v>626</v>
      </c>
      <c r="E95" s="3" t="s">
        <v>125</v>
      </c>
      <c r="F95" s="3" t="s">
        <v>145</v>
      </c>
      <c r="G95" s="3" t="s">
        <v>54</v>
      </c>
      <c r="H95" s="3"/>
      <c r="I95" s="4">
        <v>511865531</v>
      </c>
      <c r="J95" s="4">
        <v>200000000</v>
      </c>
      <c r="K95" s="4">
        <v>711865531</v>
      </c>
      <c r="L95" s="5"/>
      <c r="M95" s="5"/>
      <c r="N95" s="5"/>
      <c r="O95" s="5"/>
      <c r="P95" s="4"/>
      <c r="Q95" s="4"/>
      <c r="R95" s="3"/>
    </row>
    <row r="96" spans="1:18" ht="69.900000000000006" customHeight="1" x14ac:dyDescent="0.3">
      <c r="A96" s="3" t="s">
        <v>627</v>
      </c>
      <c r="B96" s="3" t="s">
        <v>628</v>
      </c>
      <c r="C96" s="3" t="s">
        <v>629</v>
      </c>
      <c r="D96" s="3"/>
      <c r="E96" s="3" t="s">
        <v>155</v>
      </c>
      <c r="F96" s="3" t="s">
        <v>145</v>
      </c>
      <c r="G96" s="3" t="s">
        <v>177</v>
      </c>
      <c r="H96" s="3"/>
      <c r="I96" s="4">
        <v>386045990.94</v>
      </c>
      <c r="J96" s="4">
        <v>200000000.00000009</v>
      </c>
      <c r="K96" s="4">
        <v>586045990.94000006</v>
      </c>
      <c r="L96" s="5"/>
      <c r="M96" s="5"/>
      <c r="N96" s="5"/>
      <c r="O96" s="5"/>
      <c r="P96" s="4"/>
      <c r="Q96" s="4"/>
      <c r="R96" s="3"/>
    </row>
    <row r="97" spans="1:18" ht="69.900000000000006" customHeight="1" x14ac:dyDescent="0.3">
      <c r="A97" s="3" t="s">
        <v>630</v>
      </c>
      <c r="B97" s="3" t="s">
        <v>631</v>
      </c>
      <c r="C97" s="3" t="s">
        <v>632</v>
      </c>
      <c r="D97" s="3" t="s">
        <v>633</v>
      </c>
      <c r="E97" s="3" t="s">
        <v>74</v>
      </c>
      <c r="F97" s="3" t="s">
        <v>76</v>
      </c>
      <c r="G97" s="3" t="s">
        <v>54</v>
      </c>
      <c r="H97" s="3"/>
      <c r="I97" s="4">
        <v>59900815918</v>
      </c>
      <c r="J97" s="4">
        <v>0</v>
      </c>
      <c r="K97" s="4">
        <v>59900815918</v>
      </c>
      <c r="L97" s="5"/>
      <c r="M97" s="5"/>
      <c r="N97" s="5"/>
      <c r="O97" s="5"/>
      <c r="P97" s="4"/>
      <c r="Q97" s="4"/>
      <c r="R97" s="3"/>
    </row>
    <row r="98" spans="1:18" ht="69.900000000000006" customHeight="1" x14ac:dyDescent="0.3">
      <c r="A98" s="3" t="s">
        <v>634</v>
      </c>
      <c r="B98" s="3" t="s">
        <v>355</v>
      </c>
      <c r="C98" s="3" t="s">
        <v>635</v>
      </c>
      <c r="D98" s="3" t="s">
        <v>636</v>
      </c>
      <c r="E98" s="3" t="s">
        <v>182</v>
      </c>
      <c r="F98" s="3" t="s">
        <v>637</v>
      </c>
      <c r="G98" s="3" t="s">
        <v>54</v>
      </c>
      <c r="H98" s="3"/>
      <c r="I98" s="4">
        <v>28121067144</v>
      </c>
      <c r="J98" s="4">
        <v>142000000</v>
      </c>
      <c r="K98" s="4">
        <v>28263067144</v>
      </c>
      <c r="L98" s="5"/>
      <c r="M98" s="5"/>
      <c r="N98" s="5"/>
      <c r="O98" s="5"/>
      <c r="P98" s="4"/>
      <c r="Q98" s="4"/>
      <c r="R98" s="3"/>
    </row>
    <row r="99" spans="1:18" ht="69.900000000000006" customHeight="1" x14ac:dyDescent="0.3">
      <c r="A99" s="3" t="s">
        <v>638</v>
      </c>
      <c r="B99" s="3" t="s">
        <v>425</v>
      </c>
      <c r="C99" s="3" t="s">
        <v>639</v>
      </c>
      <c r="D99" s="3" t="s">
        <v>640</v>
      </c>
      <c r="E99" s="3" t="s">
        <v>60</v>
      </c>
      <c r="F99" s="3" t="s">
        <v>99</v>
      </c>
      <c r="G99" s="3" t="s">
        <v>122</v>
      </c>
      <c r="H99" s="3"/>
      <c r="I99" s="4">
        <v>1989520159</v>
      </c>
      <c r="J99" s="4">
        <v>835888647</v>
      </c>
      <c r="K99" s="4">
        <v>2825408806</v>
      </c>
      <c r="L99" s="5"/>
      <c r="M99" s="5"/>
      <c r="N99" s="5"/>
      <c r="O99" s="5"/>
      <c r="P99" s="4"/>
      <c r="Q99" s="4"/>
      <c r="R99" s="3"/>
    </row>
    <row r="100" spans="1:18" ht="69.900000000000006" customHeight="1" x14ac:dyDescent="0.3">
      <c r="A100" s="3" t="s">
        <v>641</v>
      </c>
      <c r="B100" s="3" t="s">
        <v>642</v>
      </c>
      <c r="C100" s="3" t="s">
        <v>643</v>
      </c>
      <c r="D100" s="3" t="s">
        <v>644</v>
      </c>
      <c r="E100" s="3" t="s">
        <v>60</v>
      </c>
      <c r="F100" s="3" t="s">
        <v>99</v>
      </c>
      <c r="G100" s="3" t="s">
        <v>122</v>
      </c>
      <c r="H100" s="3"/>
      <c r="I100" s="4">
        <v>4869404585</v>
      </c>
      <c r="J100" s="4">
        <v>170383404</v>
      </c>
      <c r="K100" s="4">
        <v>5039787989</v>
      </c>
      <c r="L100" s="5"/>
      <c r="M100" s="5"/>
      <c r="N100" s="5"/>
      <c r="O100" s="5"/>
      <c r="P100" s="4"/>
      <c r="Q100" s="4"/>
      <c r="R100" s="3"/>
    </row>
    <row r="101" spans="1:18" ht="69.900000000000006" customHeight="1" x14ac:dyDescent="0.3">
      <c r="A101" s="3" t="s">
        <v>645</v>
      </c>
      <c r="B101" s="3" t="s">
        <v>334</v>
      </c>
      <c r="C101" s="3" t="s">
        <v>646</v>
      </c>
      <c r="D101" s="3" t="s">
        <v>647</v>
      </c>
      <c r="E101" s="3" t="s">
        <v>74</v>
      </c>
      <c r="F101" s="3" t="s">
        <v>648</v>
      </c>
      <c r="G101" s="3" t="s">
        <v>122</v>
      </c>
      <c r="H101" s="3"/>
      <c r="I101" s="4">
        <v>2644584337.2600002</v>
      </c>
      <c r="J101" s="4">
        <v>0</v>
      </c>
      <c r="K101" s="4">
        <v>2644584337.2600002</v>
      </c>
      <c r="L101" s="5"/>
      <c r="M101" s="5"/>
      <c r="N101" s="5"/>
      <c r="O101" s="5"/>
      <c r="P101" s="4"/>
      <c r="Q101" s="4"/>
      <c r="R101" s="3"/>
    </row>
    <row r="102" spans="1:18" ht="69.900000000000006" customHeight="1" x14ac:dyDescent="0.3">
      <c r="A102" s="3" t="s">
        <v>649</v>
      </c>
      <c r="B102" s="3" t="s">
        <v>294</v>
      </c>
      <c r="C102" s="3" t="s">
        <v>650</v>
      </c>
      <c r="D102" s="3" t="s">
        <v>651</v>
      </c>
      <c r="E102" s="3" t="s">
        <v>74</v>
      </c>
      <c r="F102" s="3" t="s">
        <v>652</v>
      </c>
      <c r="G102" s="3" t="s">
        <v>122</v>
      </c>
      <c r="H102" s="3"/>
      <c r="I102" s="4">
        <v>6578630543.6700001</v>
      </c>
      <c r="J102" s="4">
        <v>0</v>
      </c>
      <c r="K102" s="4">
        <v>6578630543.6700001</v>
      </c>
      <c r="L102" s="5"/>
      <c r="M102" s="5"/>
      <c r="N102" s="5"/>
      <c r="O102" s="5"/>
      <c r="P102" s="4"/>
      <c r="Q102" s="4"/>
      <c r="R102" s="3"/>
    </row>
    <row r="103" spans="1:18" ht="69.900000000000006" customHeight="1" x14ac:dyDescent="0.3">
      <c r="A103" s="3" t="s">
        <v>653</v>
      </c>
      <c r="B103" s="3" t="s">
        <v>624</v>
      </c>
      <c r="C103" s="3" t="s">
        <v>654</v>
      </c>
      <c r="D103" s="3" t="s">
        <v>655</v>
      </c>
      <c r="E103" s="3" t="s">
        <v>74</v>
      </c>
      <c r="F103" s="3" t="s">
        <v>76</v>
      </c>
      <c r="G103" s="3" t="s">
        <v>122</v>
      </c>
      <c r="H103" s="3"/>
      <c r="I103" s="4">
        <v>6853127845.6300001</v>
      </c>
      <c r="J103" s="4">
        <v>0</v>
      </c>
      <c r="K103" s="4">
        <v>6853127845.6300001</v>
      </c>
      <c r="L103" s="5"/>
      <c r="M103" s="5"/>
      <c r="N103" s="5"/>
      <c r="O103" s="5"/>
      <c r="P103" s="4"/>
      <c r="Q103" s="4"/>
      <c r="R103" s="3"/>
    </row>
    <row r="104" spans="1:18" ht="69.900000000000006" customHeight="1" x14ac:dyDescent="0.3">
      <c r="A104" s="3" t="s">
        <v>656</v>
      </c>
      <c r="B104" s="3" t="s">
        <v>631</v>
      </c>
      <c r="C104" s="3" t="s">
        <v>657</v>
      </c>
      <c r="D104" s="3"/>
      <c r="E104" s="3" t="s">
        <v>74</v>
      </c>
      <c r="F104" s="3" t="s">
        <v>658</v>
      </c>
      <c r="G104" s="3" t="s">
        <v>659</v>
      </c>
      <c r="H104" s="3"/>
      <c r="I104" s="4">
        <v>36139210439</v>
      </c>
      <c r="J104" s="4">
        <v>0</v>
      </c>
      <c r="K104" s="4">
        <v>36139210439</v>
      </c>
      <c r="L104" s="5"/>
      <c r="M104" s="5"/>
      <c r="N104" s="5"/>
      <c r="O104" s="5"/>
      <c r="P104" s="4"/>
      <c r="Q104" s="4"/>
      <c r="R104" s="3"/>
    </row>
  </sheetData>
  <mergeCells count="1">
    <mergeCell ref="A1:R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B3DFA865F6F034EB448FC5A52568A32" ma:contentTypeVersion="4" ma:contentTypeDescription="Crear nuevo documento." ma:contentTypeScope="" ma:versionID="2f51a7d93a285d3941b6523f943e8fd4">
  <xsd:schema xmlns:xsd="http://www.w3.org/2001/XMLSchema" xmlns:xs="http://www.w3.org/2001/XMLSchema" xmlns:p="http://schemas.microsoft.com/office/2006/metadata/properties" xmlns:ns2="b00b06bb-bd7e-41cd-b698-c4070c092581" targetNamespace="http://schemas.microsoft.com/office/2006/metadata/properties" ma:root="true" ma:fieldsID="efc4bcf9a5ebed2856ce64dac4174bb4" ns2:_="">
    <xsd:import namespace="b00b06bb-bd7e-41cd-b698-c4070c0925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0b06bb-bd7e-41cd-b698-c4070c0925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E85F87-9E09-42D9-BB06-BFE3FE303B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0b06bb-bd7e-41cd-b698-c4070c092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A1EF65-9D62-4CDA-B27D-0BB4F7C1A45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6FE95C2-8F95-4D67-8A20-916165236EF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MatrizSeguimientoEvaluacion</vt:lpstr>
      <vt:lpstr>OtrosEjecutoresDescentralizadas</vt:lpstr>
      <vt:lpstr>OtrosEjecutoresMunicipios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Indicadores</cp:lastModifiedBy>
  <dcterms:created xsi:type="dcterms:W3CDTF">2026-03-11T21:27:55Z</dcterms:created>
  <dcterms:modified xsi:type="dcterms:W3CDTF">2026-03-12T01:14:06Z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0x0101008B3DFA865F6F034EB448FC5A52568A32</vt:lpwstr>
  </property>
</Properties>
</file>