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551" documentId="13_ncr:1_{3BFAFFED-789E-4342-9BAC-067C8672E2D8}" xr6:coauthVersionLast="47" xr6:coauthVersionMax="47" xr10:uidLastSave="{DE51D121-7D99-4A40-8811-E86776B33D12}"/>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50" i="1" l="1"/>
  <c r="AT47" i="1"/>
  <c r="AT43" i="1"/>
  <c r="AT39" i="1"/>
  <c r="AT37" i="1"/>
  <c r="AT35" i="1"/>
  <c r="AT27" i="1"/>
  <c r="AT25" i="1"/>
  <c r="AT21" i="1"/>
  <c r="AT20" i="1"/>
  <c r="AT19" i="1"/>
  <c r="AT18" i="1"/>
  <c r="AT16" i="1"/>
  <c r="AT15" i="1"/>
  <c r="AT13" i="1"/>
  <c r="AT11" i="1"/>
  <c r="AT10" i="1"/>
  <c r="AT8" i="1"/>
  <c r="AT6" i="1"/>
  <c r="AT5" i="1"/>
  <c r="AM18" i="2"/>
  <c r="AL18" i="2"/>
  <c r="AG18" i="2"/>
  <c r="AF18" i="2"/>
  <c r="AE18" i="2"/>
  <c r="AD18" i="2"/>
  <c r="AL17" i="2"/>
  <c r="AG17" i="2"/>
  <c r="AF17" i="2"/>
  <c r="AE17" i="2"/>
  <c r="AD17" i="2"/>
  <c r="AM17" i="2" s="1"/>
  <c r="AM16" i="2"/>
  <c r="AL16" i="2"/>
  <c r="AG16" i="2"/>
  <c r="AF16" i="2"/>
  <c r="AE16" i="2"/>
  <c r="AD16" i="2"/>
  <c r="AM15" i="2"/>
  <c r="AL15" i="2"/>
  <c r="AG15" i="2"/>
  <c r="AF15" i="2"/>
  <c r="AE15" i="2"/>
  <c r="AD15" i="2"/>
  <c r="AL14" i="2"/>
  <c r="AM14" i="2" s="1"/>
  <c r="AG14" i="2"/>
  <c r="AF14" i="2"/>
  <c r="AE14" i="2"/>
  <c r="AD14" i="2"/>
  <c r="AM13" i="2"/>
  <c r="AL13" i="2"/>
  <c r="AG13" i="2"/>
  <c r="AF13" i="2"/>
  <c r="AE13" i="2"/>
  <c r="AD13" i="2"/>
  <c r="AL12" i="2"/>
  <c r="AG12" i="2"/>
  <c r="AF12" i="2"/>
  <c r="AE12" i="2"/>
  <c r="AD12" i="2"/>
  <c r="AM12" i="2" s="1"/>
  <c r="AM11" i="2"/>
  <c r="AL11" i="2"/>
  <c r="AG11" i="2"/>
  <c r="AF11" i="2"/>
  <c r="AE11" i="2"/>
  <c r="AD11" i="2"/>
  <c r="AM10" i="2"/>
  <c r="AL10" i="2"/>
  <c r="AG10" i="2"/>
  <c r="AF10" i="2"/>
  <c r="AE10" i="2"/>
  <c r="AD10" i="2"/>
  <c r="AM9" i="2"/>
  <c r="AL9" i="2"/>
  <c r="AG9" i="2"/>
  <c r="AF9" i="2"/>
  <c r="AE9" i="2"/>
  <c r="AD9" i="2"/>
  <c r="AM8" i="2"/>
  <c r="AL8" i="2"/>
  <c r="AG8" i="2"/>
  <c r="AF8" i="2"/>
  <c r="AE8" i="2"/>
  <c r="AD8" i="2"/>
  <c r="AM7" i="2"/>
  <c r="AL7" i="2"/>
  <c r="AG7" i="2"/>
  <c r="AF7" i="2"/>
  <c r="AE7" i="2"/>
  <c r="AD7" i="2"/>
  <c r="AL6" i="2"/>
  <c r="AM6" i="2" s="1"/>
  <c r="AG6" i="2"/>
  <c r="AF6" i="2"/>
  <c r="AE6" i="2"/>
  <c r="AD6" i="2"/>
  <c r="AL5" i="2"/>
  <c r="AG5" i="2"/>
  <c r="AF5" i="2"/>
  <c r="AE5" i="2"/>
  <c r="AM5" i="2" s="1"/>
  <c r="AD5" i="2"/>
  <c r="AM4" i="2"/>
  <c r="AL4" i="2"/>
  <c r="AG4" i="2"/>
  <c r="AF4" i="2"/>
  <c r="AE4" i="2"/>
  <c r="AD4" i="2"/>
  <c r="AM3" i="2"/>
  <c r="AL3" i="2"/>
  <c r="AG3" i="2"/>
  <c r="AF3" i="2"/>
  <c r="AE3" i="2"/>
  <c r="AD3" i="2"/>
  <c r="AW60" i="1"/>
  <c r="AV60" i="1"/>
  <c r="AT60" i="1"/>
  <c r="AQ60" i="1"/>
  <c r="AP60" i="1"/>
  <c r="AO60" i="1"/>
  <c r="AN60" i="1"/>
  <c r="AW59" i="1"/>
  <c r="AV59" i="1"/>
  <c r="AT59" i="1"/>
  <c r="AQ59" i="1"/>
  <c r="AP59" i="1"/>
  <c r="AO59" i="1"/>
  <c r="AN59" i="1"/>
  <c r="AW58" i="1"/>
  <c r="AV58" i="1"/>
  <c r="AT58" i="1"/>
  <c r="AQ58" i="1"/>
  <c r="AP58" i="1"/>
  <c r="AO58" i="1"/>
  <c r="AN58" i="1"/>
  <c r="AW57" i="1"/>
  <c r="AV57" i="1"/>
  <c r="AT57" i="1"/>
  <c r="AQ57" i="1"/>
  <c r="AP57" i="1"/>
  <c r="AO57" i="1"/>
  <c r="AN57" i="1"/>
  <c r="AW56" i="1"/>
  <c r="AV56" i="1"/>
  <c r="AT56" i="1"/>
  <c r="AQ56" i="1"/>
  <c r="AP56" i="1"/>
  <c r="AO56" i="1"/>
  <c r="AN56" i="1"/>
  <c r="AV55" i="1"/>
  <c r="AT55" i="1"/>
  <c r="AQ55" i="1"/>
  <c r="AP55" i="1"/>
  <c r="AO55" i="1"/>
  <c r="AN55" i="1"/>
  <c r="AW54" i="1"/>
  <c r="AV54" i="1"/>
  <c r="AT54" i="1"/>
  <c r="AQ54" i="1"/>
  <c r="AP54" i="1"/>
  <c r="AO54" i="1"/>
  <c r="AN54" i="1"/>
  <c r="AW53" i="1"/>
  <c r="AV53" i="1"/>
  <c r="AT53" i="1"/>
  <c r="AQ53" i="1"/>
  <c r="AP53" i="1"/>
  <c r="AO53" i="1"/>
  <c r="AN53" i="1"/>
  <c r="AV52" i="1"/>
  <c r="AT52" i="1"/>
  <c r="AQ52" i="1"/>
  <c r="AP52" i="1"/>
  <c r="AO52" i="1"/>
  <c r="AN52" i="1"/>
  <c r="AV51" i="1"/>
  <c r="AT51" i="1"/>
  <c r="AQ51" i="1"/>
  <c r="AP51" i="1"/>
  <c r="AO51" i="1"/>
  <c r="AN51" i="1"/>
  <c r="AW50" i="1"/>
  <c r="AV50" i="1"/>
  <c r="AQ50" i="1"/>
  <c r="AP50" i="1"/>
  <c r="AO50" i="1"/>
  <c r="AN50" i="1"/>
  <c r="AW49" i="1"/>
  <c r="AV49" i="1"/>
  <c r="AT49" i="1"/>
  <c r="AQ49" i="1"/>
  <c r="AP49" i="1"/>
  <c r="AO49" i="1"/>
  <c r="AN49" i="1"/>
  <c r="AW48" i="1"/>
  <c r="AV48" i="1"/>
  <c r="AT48" i="1"/>
  <c r="AQ48" i="1"/>
  <c r="AP48" i="1"/>
  <c r="AO48" i="1"/>
  <c r="AN48" i="1"/>
  <c r="AW47" i="1"/>
  <c r="AV47" i="1"/>
  <c r="AQ47" i="1"/>
  <c r="AP47" i="1"/>
  <c r="AO47" i="1"/>
  <c r="AN47" i="1"/>
  <c r="AW46" i="1"/>
  <c r="AV46" i="1"/>
  <c r="AT46" i="1"/>
  <c r="AQ46" i="1"/>
  <c r="AP46" i="1"/>
  <c r="AO46" i="1"/>
  <c r="AN46" i="1"/>
  <c r="AV45" i="1"/>
  <c r="AT45" i="1"/>
  <c r="AQ45" i="1"/>
  <c r="AP45" i="1"/>
  <c r="AO45" i="1"/>
  <c r="AN45" i="1"/>
  <c r="AV44" i="1"/>
  <c r="AT44" i="1"/>
  <c r="AP44" i="1"/>
  <c r="AQ44" i="1" s="1"/>
  <c r="AO44" i="1"/>
  <c r="AN44" i="1"/>
  <c r="AW43" i="1"/>
  <c r="AV43" i="1"/>
  <c r="AQ43" i="1"/>
  <c r="AP43" i="1"/>
  <c r="AO43" i="1"/>
  <c r="AN43" i="1"/>
  <c r="AV42" i="1"/>
  <c r="AT42" i="1"/>
  <c r="AQ42" i="1"/>
  <c r="AP42" i="1"/>
  <c r="AO42" i="1"/>
  <c r="AN42" i="1"/>
  <c r="AV41" i="1"/>
  <c r="AT41" i="1"/>
  <c r="AQ41" i="1"/>
  <c r="AP41" i="1"/>
  <c r="AO41" i="1"/>
  <c r="AN41" i="1"/>
  <c r="AV40" i="1"/>
  <c r="AT40" i="1"/>
  <c r="AQ40" i="1"/>
  <c r="AP40" i="1"/>
  <c r="AO40" i="1"/>
  <c r="AN40" i="1"/>
  <c r="AW39" i="1"/>
  <c r="AV39" i="1"/>
  <c r="AQ39" i="1"/>
  <c r="AP39" i="1"/>
  <c r="AO39" i="1"/>
  <c r="AN39" i="1"/>
  <c r="AV38" i="1"/>
  <c r="AT38" i="1"/>
  <c r="AP38" i="1"/>
  <c r="AQ38" i="1" s="1"/>
  <c r="AO38" i="1"/>
  <c r="AN38" i="1"/>
  <c r="AW37" i="1"/>
  <c r="AV37" i="1"/>
  <c r="AP37" i="1"/>
  <c r="AQ37" i="1" s="1"/>
  <c r="AO37" i="1"/>
  <c r="AN37" i="1"/>
  <c r="AV36" i="1"/>
  <c r="AT36" i="1"/>
  <c r="AQ36" i="1"/>
  <c r="AP36" i="1"/>
  <c r="AO36" i="1"/>
  <c r="AN36" i="1"/>
  <c r="AW35" i="1"/>
  <c r="AV35" i="1"/>
  <c r="AQ35" i="1"/>
  <c r="AP35" i="1"/>
  <c r="AO35" i="1"/>
  <c r="AN35" i="1"/>
  <c r="AW34" i="1"/>
  <c r="AV34" i="1"/>
  <c r="AT34" i="1"/>
  <c r="AQ34" i="1"/>
  <c r="AP34" i="1"/>
  <c r="AO34" i="1"/>
  <c r="AN34" i="1"/>
  <c r="AW33" i="1"/>
  <c r="AV33" i="1"/>
  <c r="AT33" i="1"/>
  <c r="AQ33" i="1"/>
  <c r="AP33" i="1"/>
  <c r="AO33" i="1"/>
  <c r="AN33" i="1"/>
  <c r="AV32" i="1"/>
  <c r="AT32" i="1"/>
  <c r="AQ32" i="1"/>
  <c r="AP32" i="1"/>
  <c r="AO32" i="1"/>
  <c r="AN32" i="1"/>
  <c r="AW31" i="1"/>
  <c r="AV31" i="1"/>
  <c r="AT31" i="1"/>
  <c r="AQ31" i="1"/>
  <c r="AP31" i="1"/>
  <c r="AO31" i="1"/>
  <c r="AN31" i="1"/>
  <c r="AW30" i="1"/>
  <c r="AV30" i="1"/>
  <c r="AT30" i="1"/>
  <c r="AQ30" i="1"/>
  <c r="AP30" i="1"/>
  <c r="AO30" i="1"/>
  <c r="AN30" i="1"/>
  <c r="AW29" i="1"/>
  <c r="AV29" i="1"/>
  <c r="AT29" i="1"/>
  <c r="AQ29" i="1"/>
  <c r="AP29" i="1"/>
  <c r="AO29" i="1"/>
  <c r="AN29" i="1"/>
  <c r="AW28" i="1"/>
  <c r="AV28" i="1"/>
  <c r="AT28" i="1"/>
  <c r="AQ28" i="1"/>
  <c r="AP28" i="1"/>
  <c r="AO28" i="1"/>
  <c r="AN28" i="1"/>
  <c r="AW27" i="1"/>
  <c r="AV27" i="1"/>
  <c r="AQ27" i="1"/>
  <c r="AP27" i="1"/>
  <c r="AO27" i="1"/>
  <c r="AN27" i="1"/>
  <c r="AV26" i="1"/>
  <c r="AT26" i="1"/>
  <c r="AQ26" i="1"/>
  <c r="AP26" i="1"/>
  <c r="AO26" i="1"/>
  <c r="AN26" i="1"/>
  <c r="AW25" i="1"/>
  <c r="AV25" i="1"/>
  <c r="AQ25" i="1"/>
  <c r="AP25" i="1"/>
  <c r="AO25" i="1"/>
  <c r="AN25" i="1"/>
  <c r="AW24" i="1"/>
  <c r="AV24" i="1"/>
  <c r="AT24" i="1"/>
  <c r="AQ24" i="1"/>
  <c r="AP24" i="1"/>
  <c r="AO24" i="1"/>
  <c r="AN24" i="1"/>
  <c r="AW23" i="1"/>
  <c r="AV23" i="1"/>
  <c r="AT23" i="1"/>
  <c r="AQ23" i="1"/>
  <c r="AP23" i="1"/>
  <c r="AO23" i="1"/>
  <c r="AN23" i="1"/>
  <c r="AV22" i="1"/>
  <c r="AT22" i="1"/>
  <c r="AP22" i="1"/>
  <c r="AQ22" i="1" s="1"/>
  <c r="AO22" i="1"/>
  <c r="AN22" i="1"/>
  <c r="AW21" i="1"/>
  <c r="AV21" i="1"/>
  <c r="AQ21" i="1"/>
  <c r="AP21" i="1"/>
  <c r="AO21" i="1"/>
  <c r="AN21" i="1"/>
  <c r="AW20" i="1"/>
  <c r="AV20" i="1"/>
  <c r="AP20" i="1"/>
  <c r="AQ20" i="1" s="1"/>
  <c r="AO20" i="1"/>
  <c r="AN20" i="1"/>
  <c r="AW19" i="1"/>
  <c r="AV19" i="1"/>
  <c r="AQ19" i="1"/>
  <c r="AP19" i="1"/>
  <c r="AO19" i="1"/>
  <c r="AN19" i="1"/>
  <c r="AW18" i="1"/>
  <c r="AV18" i="1"/>
  <c r="AQ18" i="1"/>
  <c r="AP18" i="1"/>
  <c r="AO18" i="1"/>
  <c r="AN18" i="1"/>
  <c r="AW17" i="1"/>
  <c r="AV17" i="1"/>
  <c r="AT17" i="1"/>
  <c r="AQ17" i="1"/>
  <c r="AP17" i="1"/>
  <c r="AO17" i="1"/>
  <c r="AN17" i="1"/>
  <c r="AW16" i="1"/>
  <c r="AV16" i="1"/>
  <c r="AP16" i="1"/>
  <c r="AQ16" i="1" s="1"/>
  <c r="AO16" i="1"/>
  <c r="AN16" i="1"/>
  <c r="AV15" i="1"/>
  <c r="AP15" i="1"/>
  <c r="AQ15" i="1" s="1"/>
  <c r="AO15" i="1"/>
  <c r="AN15" i="1"/>
  <c r="AW14" i="1"/>
  <c r="AV14" i="1"/>
  <c r="AT14" i="1"/>
  <c r="AQ14" i="1"/>
  <c r="AP14" i="1"/>
  <c r="AO14" i="1"/>
  <c r="AN14" i="1"/>
  <c r="AW13" i="1"/>
  <c r="AV13" i="1"/>
  <c r="AQ13" i="1"/>
  <c r="AP13" i="1"/>
  <c r="AO13" i="1"/>
  <c r="AN13" i="1"/>
  <c r="AW12" i="1"/>
  <c r="AV12" i="1"/>
  <c r="AT12" i="1"/>
  <c r="AQ12" i="1"/>
  <c r="AP12" i="1"/>
  <c r="AO12" i="1"/>
  <c r="AN12" i="1"/>
  <c r="AW11" i="1"/>
  <c r="AV11" i="1"/>
  <c r="AP11" i="1"/>
  <c r="AQ11" i="1" s="1"/>
  <c r="AO11" i="1"/>
  <c r="AN11" i="1"/>
  <c r="AW10" i="1"/>
  <c r="AV10" i="1"/>
  <c r="AQ10" i="1"/>
  <c r="AP10" i="1"/>
  <c r="AO10" i="1"/>
  <c r="AN10" i="1"/>
  <c r="AW9" i="1"/>
  <c r="AV9" i="1"/>
  <c r="AT9" i="1"/>
  <c r="AP9" i="1"/>
  <c r="AQ9" i="1" s="1"/>
  <c r="AO9" i="1"/>
  <c r="AN9" i="1"/>
  <c r="AW8" i="1"/>
  <c r="AV8" i="1"/>
  <c r="AQ8" i="1"/>
  <c r="AP8" i="1"/>
  <c r="AO8" i="1"/>
  <c r="AN8" i="1"/>
  <c r="AW7" i="1"/>
  <c r="AV7" i="1"/>
  <c r="AT7" i="1"/>
  <c r="AQ7" i="1"/>
  <c r="AP7" i="1"/>
  <c r="AO7" i="1"/>
  <c r="AN7" i="1"/>
  <c r="AW6" i="1"/>
  <c r="AV6" i="1"/>
  <c r="AP6" i="1"/>
  <c r="AQ6" i="1" s="1"/>
  <c r="AO6" i="1"/>
  <c r="AN6" i="1"/>
  <c r="AW5" i="1"/>
  <c r="AV5" i="1"/>
  <c r="AQ5" i="1"/>
  <c r="AP5" i="1"/>
  <c r="AO5" i="1"/>
  <c r="AN5" i="1"/>
  <c r="AW4" i="1"/>
  <c r="AV4" i="1"/>
  <c r="AT4" i="1"/>
  <c r="AP4" i="1"/>
  <c r="AQ4" i="1" s="1"/>
  <c r="AO4" i="1"/>
  <c r="AN4" i="1"/>
  <c r="AW3" i="1"/>
  <c r="AV3" i="1"/>
  <c r="AT3" i="1"/>
  <c r="AQ3" i="1"/>
  <c r="AP3" i="1"/>
  <c r="AO3" i="1"/>
  <c r="AN3" i="1"/>
  <c r="AW42" i="1" l="1"/>
  <c r="AW44" i="1"/>
  <c r="AW41" i="1"/>
  <c r="AW15" i="1"/>
  <c r="AW52" i="1"/>
  <c r="AW45" i="1"/>
  <c r="AW36" i="1"/>
  <c r="AW51" i="1"/>
  <c r="AW22" i="1"/>
  <c r="AW55" i="1"/>
  <c r="AW26" i="1"/>
  <c r="AW40" i="1"/>
</calcChain>
</file>

<file path=xl/sharedStrings.xml><?xml version="1.0" encoding="utf-8"?>
<sst xmlns="http://schemas.openxmlformats.org/spreadsheetml/2006/main" count="2007" uniqueCount="1007">
  <si>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</si>
  <si>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</si>
  <si>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</si>
  <si>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</si>
  <si>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</si>
  <si>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</si>
  <si>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</si>
  <si>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</si>
  <si>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</si>
  <si>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</si>
  <si>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</si>
  <si>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</si>
  <si>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</si>
  <si>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</si>
  <si>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</si>
  <si>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</si>
  <si>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</si>
  <si>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</si>
  <si>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</si>
  <si>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</si>
  <si>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</si>
  <si>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</si>
  <si>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</si>
  <si>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</si>
  <si>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</si>
  <si>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</si>
  <si>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</si>
  <si>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</si>
  <si>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</si>
  <si>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</si>
  <si>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</si>
  <si>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</si>
  <si>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</si>
  <si>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</si>
  <si>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</si>
  <si>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</si>
  <si>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</si>
  <si>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</si>
  <si>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</si>
  <si>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</si>
  <si>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</si>
  <si>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</si>
  <si>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</si>
  <si>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</si>
  <si>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</si>
  <si>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</si>
  <si>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</si>
  <si>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</si>
  <si>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</si>
  <si>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</si>
  <si>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</si>
  <si>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</si>
  <si>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</si>
  <si>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</si>
  <si>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</si>
  <si>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</si>
  <si>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</si>
  <si>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</si>
  <si>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</si>
  <si>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</si>
  <si>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</si>
  <si>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</si>
  <si>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</si>
  <si>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</si>
  <si>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</si>
  <si>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</si>
  <si>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</si>
  <si>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</si>
  <si>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</si>
  <si>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</si>
  <si>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</si>
  <si>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</si>
  <si>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</si>
  <si>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</si>
  <si>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</si>
  <si>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</si>
  <si>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</si>
  <si>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</si>
  <si>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</si>
  <si>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</si>
  <si>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</si>
  <si>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</si>
  <si>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</si>
  <si>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</si>
  <si>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</si>
  <si>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</si>
  <si>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</si>
  <si>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</si>
  <si>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</si>
  <si>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</si>
  <si>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</si>
  <si>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</si>
  <si>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</si>
  <si>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</si>
  <si>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</si>
  <si>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</si>
  <si>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</si>
  <si>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</si>
  <si>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</si>
  <si>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</si>
  <si>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</si>
  <si>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</si>
  <si>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</si>
  <si>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</si>
  <si>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</si>
  <si>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</si>
  <si>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</si>
  <si>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</si>
  <si>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</si>
  <si>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</si>
  <si>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</si>
  <si>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</si>
  <si>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</si>
  <si>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</si>
  <si>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</si>
  <si>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</si>
  <si>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</si>
  <si>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</si>
  <si>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</si>
  <si>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</si>
  <si>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</si>
  <si>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</si>
  <si>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</si>
  <si>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</si>
  <si>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</si>
  <si>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</si>
  <si>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</si>
  <si>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</si>
  <si>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</si>
  <si>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</si>
  <si>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</si>
  <si>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</si>
  <si>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</si>
  <si>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</si>
  <si>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</si>
  <si>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</si>
  <si>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</si>
  <si>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</si>
  <si>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</si>
  <si>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</si>
  <si>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</si>
  <si>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</si>
  <si>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</si>
  <si>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</si>
  <si>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</si>
  <si>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</si>
  <si>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</si>
  <si>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</si>
  <si>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</si>
  <si>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</si>
  <si>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</si>
  <si>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</si>
  <si>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</si>
  <si>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</si>
  <si>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</si>
  <si>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</si>
  <si>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</si>
  <si>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</si>
  <si>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</si>
  <si>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</si>
  <si>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</si>
  <si>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</si>
  <si>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</si>
  <si>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</si>
  <si>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</si>
  <si>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</si>
  <si>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</si>
  <si>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</si>
  <si>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</si>
  <si>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</si>
  <si>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</si>
  <si>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</si>
  <si>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</si>
  <si>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</si>
  <si>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</si>
  <si>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</si>
  <si>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</si>
  <si>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</si>
  <si>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</si>
  <si>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</si>
  <si>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</si>
  <si>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</si>
  <si>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</si>
  <si>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</si>
  <si>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</si>
  <si>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</si>
  <si>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</si>
  <si>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</si>
  <si>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</si>
  <si>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</si>
  <si>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</si>
  <si>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</si>
  <si>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</si>
  <si>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xml:space="preserve">Suspendido                                                            </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</si>
  <si>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</si>
  <si>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</si>
  <si>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</si>
  <si>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</si>
  <si>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</si>
  <si>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</si>
  <si>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</si>
  <si>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</si>
  <si>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</si>
  <si>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</si>
  <si>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</si>
  <si>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</si>
  <si>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</si>
  <si>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</si>
  <si>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</si>
  <si>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</si>
  <si>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</si>
  <si>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</si>
  <si>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</si>
  <si>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</si>
  <si>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</si>
  <si>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</si>
  <si>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</si>
  <si>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</si>
  <si>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</si>
  <si>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</si>
  <si>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</si>
  <si>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</si>
  <si>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</si>
  <si>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</si>
  <si>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</si>
  <si>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Colosó, Morroa</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</si>
  <si>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</si>
  <si>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</si>
  <si>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</si>
  <si>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</si>
  <si>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</si>
  <si>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</si>
  <si>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</si>
  <si>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</si>
  <si>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</si>
  <si>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</si>
  <si>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</si>
  <si>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</si>
  <si>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</si>
  <si>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</si>
  <si>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Corozal</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</si>
  <si>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</si>
  <si>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</si>
  <si>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</si>
  <si>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</si>
  <si>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</si>
  <si>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</si>
  <si>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</si>
  <si>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</si>
  <si>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</si>
  <si>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</si>
  <si>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</si>
  <si>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</si>
  <si>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</si>
  <si>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</si>
  <si>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</si>
  <si>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</si>
  <si>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</si>
  <si>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</si>
  <si>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</si>
  <si>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</si>
  <si>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</si>
  <si>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</si>
  <si>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</si>
  <si>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</si>
  <si>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</si>
  <si>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</si>
  <si>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</si>
  <si>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</si>
  <si>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</si>
  <si>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</si>
  <si>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Sucre, San Marcos, Guaranda, Caimito, La Unión, San Benito Abad, Majagual</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</si>
  <si>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</si>
  <si>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</si>
  <si>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</si>
  <si>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</si>
  <si>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</si>
  <si>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</si>
  <si>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</si>
  <si>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</si>
  <si>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</si>
  <si>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</si>
  <si>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</si>
  <si>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</si>
  <si>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</si>
  <si>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</si>
  <si>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</si>
  <si>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</si>
  <si>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</si>
  <si>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</si>
  <si>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</si>
  <si>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</si>
  <si>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San José de Toluviejo</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</si>
  <si>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</si>
  <si>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</si>
  <si>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</si>
  <si>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</si>
  <si>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</si>
  <si>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</si>
  <si>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</si>
  <si>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</si>
  <si>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</si>
  <si>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</si>
  <si>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</si>
  <si>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</si>
  <si>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Chalán</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</si>
  <si>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</si>
  <si>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</si>
  <si>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</si>
  <si>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</si>
  <si>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</si>
  <si>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</si>
  <si>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</si>
  <si>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</si>
  <si>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</si>
  <si>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</si>
  <si>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</si>
  <si>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</si>
  <si>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</si>
  <si>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</si>
  <si>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</si>
  <si>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</si>
  <si>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</si>
  <si>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</si>
  <si>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</si>
  <si>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</si>
  <si>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2024702150036</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</si>
  <si>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</si>
  <si>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</si>
  <si>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</si>
  <si>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SGR - Rendimientos financieros 30% - incentivo a la producción
SGR - Asignaciones directas</t>
  </si>
  <si>
    <t>Mejoramiento de la vía sampues-Segovia-Sincelejo en el departamento de  Sucre</t>
  </si>
  <si>
    <t>MEJORAR LAS VIAS TERCIARIAS QUE COMUNICAN A SAMPUES CON EL MUNICIPIO DE SINCELEJO A TRAVEZ DE 10,69 KM</t>
  </si>
  <si>
    <t xml:space="preserve">Vía terciaria mejorada </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</si>
  <si>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</si>
  <si>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</si>
  <si>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</si>
  <si>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</si>
  <si>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</si>
  <si>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</si>
  <si>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</si>
  <si>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</si>
  <si>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</si>
  <si>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</si>
  <si>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</si>
  <si>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OSVALDO SIERRA CARVAJALINO</t>
  </si>
  <si>
    <t>San Benito Abad, Galeras</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</si>
  <si>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</si>
  <si>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</si>
  <si>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</si>
  <si>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</si>
  <si>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</si>
  <si>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</si>
  <si>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</si>
  <si>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</si>
  <si>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</si>
  <si>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</si>
  <si>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 xml:space="preserve"> Proyecto en estado “Sin contratar”,  sin registro de proceso precontractual en SECOP II. Se encuentra en elaboración de estudios previos por parte de la sectorial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</si>
  <si>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</si>
  <si>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</si>
  <si>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</si>
  <si>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</si>
  <si>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</si>
  <si>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</si>
  <si>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</si>
  <si>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</si>
  <si>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</si>
  <si>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</si>
  <si>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</si>
  <si>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</si>
  <si>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</si>
  <si>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</si>
  <si>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</si>
  <si>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</si>
  <si>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</si>
  <si>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</si>
  <si>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</si>
  <si>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</si>
  <si>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</si>
  <si>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</si>
  <si>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</si>
  <si>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</si>
  <si>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</si>
  <si>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</si>
  <si>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</si>
  <si>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</si>
  <si>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Proyecto en estado “Sin contratar”,  sin registro de proceso precontractual en SECOP II. Se encuentra en elaboración de estudios previos por parte de la sectorial</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</si>
  <si>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</si>
  <si>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</si>
  <si>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</si>
  <si>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</si>
  <si>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</si>
  <si>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</si>
  <si>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</si>
  <si>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</si>
  <si>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</si>
  <si>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</si>
  <si>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</si>
  <si>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</si>
  <si>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</si>
  <si>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</si>
  <si>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</si>
  <si>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</si>
  <si>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</si>
  <si>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</si>
  <si>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</si>
  <si>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</si>
  <si>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</si>
  <si>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</si>
  <si>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</si>
  <si>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</si>
  <si>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</si>
  <si>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</si>
  <si>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</si>
  <si>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</si>
  <si>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</si>
  <si>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</si>
  <si>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</si>
  <si>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</si>
  <si>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</si>
  <si>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</si>
  <si>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</si>
  <si>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</si>
  <si>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</si>
  <si>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</si>
  <si>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</si>
  <si>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</si>
  <si>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</si>
  <si>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</si>
  <si>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</si>
  <si>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</si>
  <si>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</si>
  <si>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</si>
  <si>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</si>
  <si>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</si>
  <si>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</si>
  <si>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</si>
  <si>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</si>
  <si>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</si>
  <si>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</si>
  <si>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</si>
  <si>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</si>
  <si>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</si>
  <si>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</si>
  <si>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</si>
  <si>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</si>
  <si>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</si>
  <si>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</si>
  <si>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</si>
  <si>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</si>
  <si>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</si>
  <si>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</si>
  <si>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</si>
  <si>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</si>
  <si>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</si>
  <si>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</si>
  <si>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</si>
  <si>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</si>
  <si>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</si>
  <si>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</si>
  <si>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</si>
  <si>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</si>
  <si>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</si>
  <si>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</si>
  <si>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</si>
  <si>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</si>
  <si>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</si>
  <si>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</si>
  <si>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</si>
  <si>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</si>
  <si>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</si>
  <si>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</si>
  <si>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</si>
  <si>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</si>
  <si>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</si>
  <si>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</si>
  <si>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</si>
  <si>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</si>
  <si>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</si>
  <si>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</si>
  <si>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</si>
  <si>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</si>
  <si>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</si>
  <si>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</si>
  <si>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</si>
  <si>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</si>
  <si>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</si>
  <si>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</si>
  <si>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</si>
  <si>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</si>
  <si>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</si>
  <si>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</si>
  <si>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</si>
  <si>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</si>
  <si>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</si>
  <si>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</si>
  <si>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</si>
  <si>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</si>
  <si>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</si>
  <si>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</si>
  <si>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</si>
  <si>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</si>
  <si>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</si>
  <si>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</si>
  <si>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</si>
  <si>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</si>
  <si>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</si>
  <si>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</si>
  <si>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</si>
  <si>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</si>
  <si>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</si>
  <si>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</si>
  <si>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</si>
  <si>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</si>
  <si>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</si>
  <si>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</si>
  <si>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</si>
  <si>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</si>
  <si>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</si>
  <si>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</si>
  <si>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</si>
  <si>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</si>
  <si>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</si>
  <si>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</si>
  <si>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</si>
  <si>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</si>
  <si>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</si>
  <si>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</si>
  <si>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</si>
  <si>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</si>
  <si>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</si>
  <si>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</si>
  <si>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</si>
  <si>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</si>
  <si>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</si>
  <si>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</si>
  <si>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</si>
  <si>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</si>
  <si>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</si>
  <si>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</si>
  <si>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</si>
  <si>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</si>
  <si>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</si>
  <si>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</si>
  <si>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</si>
  <si>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</si>
  <si>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</si>
  <si>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</si>
  <si>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</si>
  <si>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</si>
  <si>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</si>
  <si>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</si>
  <si>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</si>
  <si>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</si>
  <si>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</si>
  <si>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</si>
  <si>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</si>
  <si>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</si>
  <si>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</si>
  <si>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</si>
  <si>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</si>
  <si>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</si>
  <si>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</si>
  <si>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</si>
  <si>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</si>
  <si>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</si>
  <si>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</si>
  <si>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</si>
  <si>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</si>
  <si>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</si>
  <si>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</si>
  <si>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</si>
  <si>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</si>
  <si>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</si>
  <si>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</si>
  <si>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</si>
  <si>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</si>
  <si>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</si>
  <si>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</si>
  <si>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</si>
  <si>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</si>
  <si>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</si>
  <si>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</si>
  <si>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</si>
  <si>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</si>
  <si>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</si>
  <si>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</si>
  <si>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</si>
  <si>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</si>
  <si>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</si>
  <si>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</si>
  <si>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</si>
  <si>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</si>
  <si>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</si>
  <si>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</si>
  <si>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</si>
  <si>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</si>
  <si>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</si>
  <si>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</si>
  <si>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</si>
  <si>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</si>
  <si>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</si>
  <si>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</si>
  <si>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</si>
  <si>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</si>
  <si>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</si>
  <si>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</si>
  <si>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</si>
  <si>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</si>
  <si>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</si>
  <si>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</si>
  <si>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</si>
  <si>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</si>
  <si>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</si>
  <si>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</si>
  <si>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</si>
  <si>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</si>
  <si>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</si>
  <si>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</si>
  <si>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</si>
  <si>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</si>
  <si>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</si>
  <si>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</si>
  <si>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</si>
  <si>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</si>
  <si>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</si>
  <si>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</si>
  <si>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</si>
  <si>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</si>
  <si>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</si>
  <si>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</si>
  <si>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</si>
  <si>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</si>
  <si>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</si>
  <si>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</si>
  <si>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</si>
  <si>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</si>
  <si>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</si>
  <si>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</si>
  <si>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</si>
  <si>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</si>
  <si>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</si>
  <si>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</si>
  <si>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</si>
  <si>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</si>
  <si>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</si>
  <si>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</si>
  <si>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</si>
  <si>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</si>
  <si>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</si>
  <si>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</si>
  <si>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</si>
  <si>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</si>
  <si>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</si>
  <si>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</si>
  <si>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</si>
  <si>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</si>
  <si>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</si>
  <si>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</si>
  <si>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</si>
  <si>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</si>
  <si>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</si>
  <si>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</si>
  <si>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</si>
  <si>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</si>
  <si>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</si>
  <si>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</si>
  <si>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</si>
  <si>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</si>
  <si>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</si>
  <si>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</si>
  <si>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</si>
  <si>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</si>
  <si>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</si>
  <si>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</si>
  <si>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</si>
  <si>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</si>
  <si>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</si>
  <si>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</si>
  <si>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</si>
  <si>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</si>
  <si>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</si>
  <si>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</si>
  <si>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</si>
  <si>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</si>
  <si>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</si>
  <si>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</si>
  <si>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</si>
  <si>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</si>
  <si>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</si>
  <si>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</si>
  <si>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</si>
  <si>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</si>
  <si>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</si>
  <si>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</si>
  <si>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</si>
  <si>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</si>
  <si>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</si>
  <si>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</si>
  <si>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</si>
  <si>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</si>
  <si>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</si>
  <si>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</si>
  <si>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</si>
  <si>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</si>
  <si>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</si>
  <si>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</si>
  <si>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</si>
  <si>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</si>
  <si>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</si>
  <si>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</si>
  <si>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</si>
  <si>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</si>
  <si>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</si>
  <si>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</si>
  <si>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</si>
  <si>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</si>
  <si>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</si>
  <si>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</si>
  <si>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</si>
  <si>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</si>
  <si>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</si>
  <si>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</si>
  <si>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</si>
  <si>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</si>
  <si>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</si>
  <si>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</si>
  <si>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</si>
  <si>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</si>
  <si>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</si>
  <si>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</si>
  <si>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</si>
  <si>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</si>
  <si>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</si>
  <si>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</si>
  <si>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</si>
  <si>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</si>
  <si>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</si>
  <si>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</si>
  <si>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</si>
  <si>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</si>
  <si>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</si>
  <si>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</si>
  <si>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</si>
  <si>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</si>
  <si>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</si>
  <si>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</si>
  <si>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</si>
  <si>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</si>
  <si>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</si>
  <si>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</si>
  <si>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</si>
  <si>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</si>
  <si>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</si>
  <si>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</si>
  <si>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</si>
  <si>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</si>
  <si>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</si>
  <si>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</si>
  <si>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</si>
  <si>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</si>
  <si>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</si>
  <si>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</si>
  <si>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</si>
  <si>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</si>
  <si>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</si>
  <si>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</si>
  <si>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</si>
  <si>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</si>
  <si>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</si>
  <si>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</si>
  <si>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</si>
  <si>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</si>
  <si>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</si>
  <si>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</si>
  <si>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</si>
  <si>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</si>
  <si>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</si>
  <si>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</si>
  <si>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</si>
  <si>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</si>
  <si>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</si>
  <si>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</si>
  <si>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</si>
  <si>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</si>
  <si>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</si>
  <si>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</si>
  <si>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</si>
  <si>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</si>
  <si>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</si>
  <si>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</si>
  <si>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</si>
  <si>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</si>
  <si>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</si>
  <si>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</si>
  <si>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</si>
  <si>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</si>
  <si>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</si>
  <si>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</si>
  <si>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</si>
  <si>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</si>
  <si>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</si>
  <si>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</si>
  <si>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</si>
  <si>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</si>
  <si>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</si>
  <si>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</si>
  <si>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</si>
  <si>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</si>
  <si>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</si>
  <si>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</si>
  <si>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</si>
  <si>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</si>
  <si>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</si>
  <si>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</si>
  <si>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</si>
  <si>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</si>
  <si>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</si>
  <si>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</si>
  <si>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</si>
  <si>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</si>
  <si>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</si>
  <si>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</si>
  <si>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</si>
  <si>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</si>
  <si>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</si>
  <si>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</si>
  <si>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</si>
  <si>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</si>
  <si>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</si>
  <si>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</si>
  <si>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</si>
  <si>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</si>
  <si>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</si>
  <si>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</si>
  <si>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</si>
  <si>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</si>
  <si>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</si>
  <si>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</si>
  <si>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</si>
  <si>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</si>
  <si>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</si>
  <si>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</si>
  <si>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</si>
  <si>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</si>
  <si>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</si>
  <si>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</si>
  <si>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</si>
  <si>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</si>
  <si>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</si>
  <si>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</si>
  <si>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</si>
  <si>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</si>
  <si>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</si>
  <si>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</si>
  <si>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</si>
  <si>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</si>
  <si>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</si>
  <si>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</si>
  <si>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</si>
  <si>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</si>
  <si>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</si>
  <si>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</si>
  <si>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</si>
  <si>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</si>
  <si>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</si>
  <si>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</si>
  <si>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</si>
  <si>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</si>
  <si>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</si>
  <si>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</si>
  <si>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</si>
  <si>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</si>
  <si>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</si>
  <si>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</si>
  <si>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</si>
  <si>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</si>
  <si>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</si>
  <si>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</si>
  <si>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</si>
  <si>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</si>
  <si>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</si>
  <si>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</si>
  <si>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</si>
  <si>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</si>
  <si>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</si>
  <si>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</si>
  <si>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</si>
  <si>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</si>
  <si>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</si>
  <si>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</si>
  <si>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</si>
  <si>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</si>
  <si>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</si>
  <si>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</si>
  <si>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</si>
  <si>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</si>
  <si>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</si>
  <si>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</si>
  <si>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</si>
  <si>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terminado en espera de actas de liquidación para cerrar, secretaría de desarrollo económico cuenta con el compromiso de liquidar este proyecto para su cierre</t>
  </si>
  <si>
    <t>Se informa que el proyecto fue aprobado el 19 de noviembre de 2024. Conforme a la última información suministrada, el proceso para la compra de maquinaria fue declarado desierto, por lo que nuevamente se radicaron los estudios previos ante contratación para adelantar el respectivo proceso. En ese sentido, se solicita informar el estado actual del trámite y las acciones adoptadas para su contratación, teniendo en cuenta que el proyecto lleva más de 550 días en estado “sin contratar”, situación que está afectando la puntuación del IGPR de la entidad. Se les recuerda que conforme al plan de acción de la Gobernación de Sucre los tiempos para la contratación son los siguientes:</t>
  </si>
  <si>
    <t>Se solicita la remisión de la ejecución correspondiente al mes de mayo de 2026 y/o modificaciones.</t>
  </si>
  <si>
    <t xml:space="preserve">El proyecto se encuentra en ejecución desde el 15 de diciembre de 2021; sin embargo, no registra reporte de ejecución en la plataforma desde octubre de 2024, situación que genera alertas para el adecuado seguimiento y control del mismo. Teniendo en cuenta que el proyecto cuenta con horizonte de ejecución hasta diciembre de 2025 y que a la fecha no se dispone de información actualizada sobre su estado, se solicita informar si el proyecto continúa en ejecución. En caso afirmativo, remitir la respectiva reprogramación y adelantar, junto con el equipo de planeación las acciones necesarias para actualizar la información en la plataforma y reportar las modificaciones o actuaciones correspondientes. Se recuerda que, para efectos de la medición del IGPR, los proyectos con horizonte vencido en la plataforma GESPROY generan afectación en la calificación de la entidad.
</t>
  </si>
  <si>
    <t>Conforme a la información remitida el mes anterior, en la que se informó el reinicio y finalización de la ejecución física del proyecto, se solicita remitir la actualización de pólizas, la ejecución correspondiente al último mes (marzo) y el acta final, teniendo en cuenta que dicha ejecución no ha sido reportada, situación que afecta la calificación del proyecto. Adicionalmente, se recuerda que la plataforma GESPROY no permite el cargue de meses vencidos, por lo que el retraso en el envío de la información puede generar inconsistencias para el cierre del proyecto. Así mismo, se informa que el proyecto presenta horizonte vencido en la plataforma, situación que genera afectación en la calificación de la entidad para efectos de la medición del IGPR.</t>
  </si>
  <si>
    <t xml:space="preserve">Teniendo en cuenta que el proyecto se encuentra con una ejecución física del 100%, se solicita remitir acta final con pólizas actualizadas y aprobadas y/o modificaciones si se han presentado.
</t>
  </si>
  <si>
    <t xml:space="preserve">Teniendo en cuenta que el proyecto se encuentra con una ejecución física del 100%, se solicita remitir acta final y pólizas actualizadas aprobadas de los contratos y/o modificaciones si se han presentado.
</t>
  </si>
  <si>
    <t>Se solicita remitir acta de aprobación de pólizas de acuerdo con el acta final y acta de liquidación para proceder al cierre del proyecto.</t>
  </si>
  <si>
    <t>Se solicita remitir las actas finales de los contratos relacionados con el proyecto, junto con la respectiva actualización de las pólizas. Así mismo, se solicita la siguiente información relacionada con el contratista:</t>
  </si>
  <si>
    <t xml:space="preserve">Teniendo en cuenta que el proyecto se encuentra en estado “Terminado”, se solicita remitir pólizas con acta final aprobadas y actas de liquidación para cada uno de los contratos suscritos y/o modificaciones si se han presentado.
</t>
  </si>
  <si>
    <t>Se encuentra en revisión con el
equipo de liquidación para la firma
del acta.</t>
  </si>
  <si>
    <t>El proyecto continúa suspendido. Se
encuentra aprobada por parte del DNP
el borrador general en GESPROY
para reprogramación. Se anexa
respuesta por parte de DNP.</t>
  </si>
  <si>
    <t>El proyecto tiene aprobado de fecha viernes 05 de junio de 2026 una prórroga por dos meses para su
ejecución y cierre final a 100% de las actividades correspondientes a adecuaciones, entrega de maquinaria y equipos, instalación y puesta en marcha de las Unidades Productoras Agropecuarias UPAS, se ha citado una reunión presencial el día viernes 12 de junio a las 9:00 am en la Secretaría de Desarrollo Económico y Sostenibilidad Ambiental con la Universidad de la Costa y el área de regalías de Planeación para construir la reprogramación en GESPROY.</t>
  </si>
  <si>
    <t>Proyecto en ejecución con horizonte hasta agosto de 2026. Se realizó la reprogramación y el cargue de la ejecución correspondiente al mes de mayo en GESPROY.
De acuerdo con los lineamientos del DNP, el proyecto presenta una brecha entre el avance físico y financiero superior a los 10 puntos porcentuales permitidos para proyectos con avance financiero mayor al 90%, situación que afecta su calificación en el seguimiento.</t>
  </si>
  <si>
    <t>Se encuentra en revisión el acta de liquidación por parte del área jurídica, técnica y financiera para proceder a la recolección de las firmas.</t>
  </si>
  <si>
    <t>Se remite acta de finalización para
pasar a proyecto terminado, anexando
documento en PDF de actualización en
SECOP 2.</t>
  </si>
  <si>
    <t>Proyecto pasó a estado terminado, se hizo el cargue del acta final y está a la espera de su liquidación para el cierre del mismo.</t>
  </si>
  <si>
    <t>Proyecto pasó a estado terminado, se hizo el cargue del acta final y está a la espera de su liquidación para el cierre del mismo, además están pendeintes actas finales de dos contratos de apoyo a la supervisión.</t>
  </si>
  <si>
    <t>Se envía informe final de supervisión e
informe de ejecución.</t>
  </si>
  <si>
    <t>Este componente fué contratado por parte de la Secretaría de la Mujer, La Juventud y la Inclusión Social, para lo cual recomendamos muy respetuosamente, dirigirse ante esta sectorial para lo pertinente</t>
  </si>
  <si>
    <t>Se remite acta de cumplimiento del componente de la Gobernación de Sucre en el marco del PIDAR 567.Y se remite información solicitada del
contratista.</t>
  </si>
  <si>
    <t>El proceso cursa en contratación sin inconvenientes, a través del Acuerdo Marco de Precios de Colombia Compra Eficiente, según la programación Precontractual, el día 10 de junio de
2026, se recibirán las propuestas por
parte de los oferentes inscritos en el
acuerdo marco para su análisis y
posterior evaluación.</t>
  </si>
  <si>
    <t>El proceso cursa en contratación sin inconvenientes, a través del Acuerdo Marco de Precios de Colombia Compra Eficiente, según la programación Precontractual, el día 20 de junio de 2026, se recibirán las propuestas por parte de los oferentes inscritos en el acuerdo marco para su análisis y posterior evaluación.</t>
  </si>
  <si>
    <t>Se generó informe de ejecución e
informe de supervisión y se anexa a su
vez la respectiva reprogramación.</t>
  </si>
  <si>
    <t>Proyecto pasó a estado terminado, está a la espera del acta final del convenio y sus respectivas liquidaciones, pólizas actualizadas y cuestionario de beneficiarios y sostenibilidad</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</si>
  <si>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 Se les recuerda que al presentar horizonte vencido en la plataforma afecta en la puntuación del IGPR</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</si>
  <si>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</si>
  <si>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 xml:space="preserve">Se solicita remitir actualización de pólizas con todas las modificaciones presentadas en el proyecto, y remitir formulario de cumplimiento de indicadores del proyecto, el cual se anexa a continuación: </t>
  </si>
  <si>
    <t>Se solicita remitir avance de ejecución del mes de mayo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</si>
  <si>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 xml:space="preserve">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   
</t>
  </si>
  <si>
    <t>Se solicita remitir el acta de liquidación del proyecto, el formato de sostenibilidad e indicadores, así como las pólizas actualizadas correspondientes al acta final y/o a las modificaciones que se hayan realizado.</t>
  </si>
  <si>
    <t>Se solicita remitir la ejecución correspondiente al mes de mayo de 2026 y/o las modificaciones que hayan sido realizadas, si aplica.</t>
  </si>
  <si>
    <t xml:space="preserve">Se solicita remitir el avance de ejecución correspondiente al mes de mayo de 2026 y/o las modificaciones realizadas.
</t>
  </si>
  <si>
    <t>Se solicita remitir el avance de ejecución correspondiente al mes de mayo de 2026 , pólizas actualizadas con modificatorio No 2 y/o las modificaciones realizadas.</t>
  </si>
  <si>
    <t>Se solicita remitir el avance de ejecución correspondiente al mes de mayo de 2026 y/o las modificaciones realizadas.</t>
  </si>
  <si>
    <t>Se solicita remitir el avance de ejecución correspondiente al mes de mayo de 2026 y/o las modificaciones realizadas, así como informar el estado de inicio de los demás contratos suscritos en el marco del proyecto.</t>
  </si>
  <si>
    <t>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77 días sin contratar.</t>
  </si>
  <si>
    <t>Se solicita remitir avance de ejecución del mes de mayo de 2026, además remitir pólizas iniciales y con acta de inicio de los contratos y/o modificaciones si se han presentado.</t>
  </si>
  <si>
    <t xml:space="preserve">Se solicita remitir el avance de ejecución correspondiente al mes de mayo de 2026 y/o las modificaciones realizadas. </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</si>
  <si>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tiene más de 7 días en este estado, se debe estar alerta para no superar los 30 días permitidos para el cargue de la programación inicial  y no generar mala calificación en el IGPR.</t>
  </si>
  <si>
    <t>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90 días sin contratar.</t>
  </si>
  <si>
    <t>Conforme a la información presentada el mes anterior, se evidenció la adjudicación del contrato de consultoría, el cual se encuentra pendiente de suscripción; no obstante, el proceso precontractual de la interventoría aún no había iniciado. Por lo anterior, se solicita remitir información actualizada sobre el estado de ambas contrataciones, así como la programación de los eventos de participación ciudadana asociados al proyecto. Este proyecto tiene más de 190 días sin contratar.</t>
  </si>
  <si>
    <t>Conforme a la información presentada el mes anterior, se evidenció la apertura del primer proceso correspondiente a la consultoría, sin embargo, aún no se había iniciado el proceso precontractual de la interventoría. Por lo anterior, se solicita remitir información actualizada sobre ambas contrataciones, así como la programación de los eventos de participación ciudadana. Este proyecto tiene mas de 160 días sin contratar.</t>
  </si>
  <si>
    <t>No se solicitó información</t>
  </si>
  <si>
    <t>Se remite la siguiente información:
- Contrato de consultoría contratado
- Contrato de interventoría sin publicar en la plataforma secop ii</t>
  </si>
  <si>
    <t>Se remite la siguiente información:
- Contrato de consultoría en evaluación de ofertas 
- Contrato de interventoría sin publicar en la plataforma SECOP II</t>
  </si>
  <si>
    <t xml:space="preserve">Se remite la siguiente información:
Se encuentra en estructuración los estudios previos de los contratos de obra e interventoría </t>
  </si>
  <si>
    <t>Se remite la siguiente información: 
Se encuentra en estructuración los estudios previos de los contratos de obra e interventoría</t>
  </si>
  <si>
    <t>Se encuentran en subsanación los estudios previos del contrato de obra</t>
  </si>
  <si>
    <t xml:space="preserve">Se remite la siguiente información:
- Contrato de obra contratado
- Contrato de interventoría en evaluación de propuestas </t>
  </si>
  <si>
    <t>Se remite la siguiente información:
- Contrato de obra contratado y adjudicado
- Contrato de interventoría se encuentra en actualización de pólizas y legalización se procede a dar inicio a los contratos de obra e interventoría</t>
  </si>
  <si>
    <t xml:space="preserve">Se remite la siguiente información:
- Reporte de ejecución mes de mayo 2026, enformato excel 
-Documento soporte de avance ejecución
</t>
  </si>
  <si>
    <t>Se remite la siguiente información:
- Reporte de ejecución mes de mayo 2026, en formato Excel.
- Informe de supervisión mes de mayo 2026</t>
  </si>
  <si>
    <t>Se remite la siguiente información:
- Reporte de ejecución mes de mayo 2026, en formato Excel.
- Documento soporte de avance ejecución</t>
  </si>
  <si>
    <t>Se remite la siguiente información:
- Reporte de ejecución mes de mayo 2026, en formato Excel.
- Documento soporte de avance ejecución.
- Informe quincenal</t>
  </si>
  <si>
    <t>Se remite la siguiente información:
- Se encuentran en tramite el acta de liquidación del contrato de obra e interventoría</t>
  </si>
  <si>
    <t>Se remite la siguiente información:
- Reporte de ejecución mes de mayo 2026, en formato Excel.
- Documento soporte de avance ejecución</t>
  </si>
  <si>
    <t>Se remite la siguiente información:
- Soportes de pagos de la fuente de financiación FONTUR, de los contratos de obra e interventoría</t>
  </si>
  <si>
    <t>Documento de beneficiarios y sostenibilidad del proyecto</t>
  </si>
  <si>
    <t>Reporte de ejecución mes de mayo 2026, en formato Excel.
- Documento soporte de avance ejecución
- Acta de suspensión de los contratos de obra, interventoría y apoyo a la supervisión</t>
  </si>
  <si>
    <t>Reporte de ejecución mes de mayo 2026, en formato Excel.
- Documento soporte de avance ejecución
- Informen mensual de ejecución</t>
  </si>
  <si>
    <t>Reporte de ejecución mes de mayo 2026, en formato Excel.
- Documento soporte de avance ejecución
- Reprogramación del proyecto
- Documento soporte de reprogramación</t>
  </si>
  <si>
    <t>Se remite la siguiente información:
- Se encuentra en tramites el acta de liquidación del contrato de interventoría</t>
  </si>
  <si>
    <t>Se remite la siguiente información:
Se encuentra en tramites el acta de liquidación de interventoría.</t>
  </si>
  <si>
    <t>Se remite la siguiente información:
- Se encuentra en tramites el acta de liquidación del contrato de interventoría.</t>
  </si>
  <si>
    <t>Proyecto terminado, la sectorial remitió en el mes de febrero la  liquidación pendiente del cntrato de obra, se está a la espera de la liquidación del contrato de interventoría. Se encuentra finalizado desde agosto 2024.</t>
  </si>
  <si>
    <t>El proyecto se encuentra reportado como terminado por la sectorial, sin embargo, se hace necesario una reprogramación del proyecto para su cierre, ya se han realizado mesas de trabajo con la sectorial y se está elaborando la reprogramación, lla cual debe quedar lista para el corte del mes de junio.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</si>
  <si>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El proyecto se encuentra terminado desde febrero de 2024 y actualmente está a la espera de la suscripción del acta de liquidación, requisito necesario para proceder con su cierre, este proyecto enfrenta un proceso jurídico para poder proceder con su liquidación.</t>
  </si>
  <si>
    <t>Proyecto se encuentra terminado, en espera de actas de liquidación para su cierre</t>
  </si>
  <si>
    <t>Proyecto en estado de ejecución, con contrats suspendidos, en espera de trámite  de un ajuste para dar reinicio a las obras.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</si>
  <si>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 y se encuentra a la espera de aprobación de un ajuste.</t>
  </si>
  <si>
    <t>Se encuentran en tramite el acta de liquidación del contrato de consultoria e interventoría</t>
  </si>
  <si>
    <t>Proyecto en estado de ejecución,  en espera del corte del mes de junio para pasar a estado terminado, ya que según lo notificado este proyecto finalizó el 09 de junio 2026.</t>
  </si>
  <si>
    <t>Proyecto en estado de ejecución, con contrato en ejecución , su programación se está ejecutando dentro de los rangos normales.</t>
  </si>
  <si>
    <t>Proyecto en estado en ejecución,  termina su ejecución el 25 de junio de 2026, este proyecto debe pasar a estado terminado para el corte del mes de junio, una vex la sectorial remita actas finales.</t>
  </si>
  <si>
    <t>Proyecto en estado de ejecución, es espera de la contratacióon de la obra, presenta ejecución muy por debajo de la programación, lo cual va generar afectación en el IGPR del proyecto, se requiere la pronta contratación de los demás contratos del proyecto.</t>
  </si>
  <si>
    <t>Proyecto en estado de ejecución, con contrato en ejecución , su programación se está ejecutando dentro de los rangos normales, sin embargo, como el DNP califica planeación, se puede evidenciar que conforme al SPI, la ejecución va muy por encima de la programación, lo cual afecta en el IGPR del proyecto</t>
  </si>
  <si>
    <t xml:space="preserve">
Contrato de obra e interventoría se encuentran suscritos en espera de acta de inicio, se debe realizar programación antes del 20 de junio de 2026, de lo contrario el proyecto será calificado en 0</t>
  </si>
  <si>
    <t xml:space="preserve">
 Mediante la Resolución No. 1786 del 30 de abril de 2026, se adjudicó el Contrato No. CM-004-2026.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</si>
  <si>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Proyecto en estado “Sin contratar”, en proceso de elaboración de estudios previos</t>
  </si>
  <si>
    <t>Proyecto pasó estado terminado a la espera de actas de liquidaciones para su cierre</t>
  </si>
  <si>
    <t xml:space="preserve">Proyecto en estado de ejecución, con contratos suspendidos, en espera de unas conexiones por parte de surtigas, se prevee su reinicio en agosto, fecha hasta donde tiene programación. </t>
  </si>
  <si>
    <t>Proyecto en estado de ejecución, con contratos en ejecución con normalidad, se prevee terminar en septiembre de 2026.</t>
  </si>
  <si>
    <t>Proyecto en estado de ejecución, con contratos en ejecución con normalidad, se prevee terminar en julio  de 2026.</t>
  </si>
  <si>
    <t>Proyecto en estado “Sin contratar”, en elaboración de estudios previos para ser remitidoa ante la susecretaría de contratación</t>
  </si>
  <si>
    <t>Proyecto en estado de ejecución, presenta horizonte hasta el 26 de junio de 2026, para el corte de 15 de julio  debe pasar a estado terminado, o reprogramarse en caso tal no termine su ejecución.</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</si>
  <si>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debe pasar a contratado en ejecución para el corte del 15 de julio.
</t>
  </si>
  <si>
    <t xml:space="preserve">Conforme a lo reportado durante el mes de marzo, el proyecto finalizó su ejecución en dicho periodo, por lo tanto, se solicita remitir las actas de terminación correspondientes y la actualización de las pólizas respectivas, en la plataforma sigue apareciendo en estado en ejecución y con horizonte vencido, lo cual está ocasionando calificación negativa en el IGPR del proyecto. </t>
  </si>
  <si>
    <t>Conforme a lo reportado durante el mes de mayo de 2026 y/o modificaciones si se han presentado.</t>
  </si>
  <si>
    <t>Se solicita remitir avance de ejecución del mes de mayo de 2026, pólizas actualizadas con acta de inicio del convenio suscrito y/o modificaciones si se han presentado.</t>
  </si>
  <si>
    <t xml:space="preserve">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49 días sin contratar.
</t>
  </si>
  <si>
    <t>Se solicita remitir avance de ejecución del mes de mayo de 2026 y/o modificaciones si se han presentado.</t>
  </si>
  <si>
    <t>Se encuentra en el aplicativo Gesproy en estado “CONTRATADO SIN ACTA DE INICIO” se solicita remitir pólizas iniciales debidamente aprobadas, la programación inicial de ejecución y acta de inicio de obra  e interventoría. Este proyecto presenta más de 113 días desde su aprobación sin que, a la fecha, se haya dado inicio a su ejecución, situación que genera alertas y afecta negativamente su calificación.</t>
  </si>
  <si>
    <t>Nos permitimos remitir: Excel de ejecución del mes y documento de entrega de avance de obra.</t>
  </si>
  <si>
    <t>Nos permitimos informar que el contrato fue reiniciado el día 27 de mayo de 2026, luego del levantamiento de la suspensión, adicionalmente, se solicitó una prórroga por el término
de un (1) mes, con el fin de culminar las actividades pendientes y garantizar el adecuado cierre de la ejecución contractual. Actualmente, las pólizas correspondientes a dicha prórroga se encuentran en proceso de revisión y aprobación. Se remite: acta de reinicio y prorroga, Excel de ejecución y documento de avance de obra
del mes de mayo y reprogramación.</t>
  </si>
  <si>
    <t>Nos permitimos informar que el proyecto cuenta con el Decreto No. 0474 de 2026, mediante el cual se adicionaron recursos para su ejecución. Asimismo, dispone del
Certificado de Disponibilidad Presupuestal (CDP) No. 725 del 3 de junio de 2026. Actualmente, se encuentran en elaboración los estudios previos requeridos para el proceso contractual, cuya modalidad de selección será mediante licitación pública.
Una vez finalizados, se procederá con su radicación ante la dependencia de contratación para continuar con los trámites correspondientes y dar inicio al proceso de selección.
Se remiten los siguientes documentos: Decreto y Certificado de Disponibilidad Presupuestal (CDP).</t>
  </si>
  <si>
    <t>Nos permitimos remitir: Excel de ejecución y documento de entrega de avance de obras del mes de mayo de 2026.</t>
  </si>
  <si>
    <t xml:space="preserve"> Adjunto acta final del proyecto No.  CONV – 017 – 2023 identificado con el código BPIN 2023002700076 el cual tiene por objeto “SUBSIDIO AL CARGO POR CONEXIÓN E INSTALACIÓN INTERNA DEL SERVICIO DE GAS NATURAL PARA USUARIOS ESTRATOS 1 Y 2 DEL DEPARTAMENTO DE SUCRE”, para su respectivo cargue en la plataforma de GESPROY.</t>
  </si>
  <si>
    <t>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t>
  </si>
  <si>
    <t>Nos permitimos remitir: Excel de ejecución, documento de avance de obras y acta de aprobación de pólizas con respecto al modificatorio No. 1 del del convenio 014 correspondiente al Gas San Marcos.</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</si>
  <si>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 El proyecto presenta horizonte vencido en la plataforma, lo que ocasiona calificación negativa al puntaje IGPR.</t>
  </si>
  <si>
    <t>Cuestionario de beneficiarios y sostenibilidad del proyecto BPIN 2016000100048 “Fortalecimiento de capacidades en CteI en niños, niñas y jóvenes de los establecimientos educativos a través del Programa Ondas en el departamento de Sucre.</t>
  </si>
  <si>
    <t>En relación con los proyectos de PAE BPIN y BPIN 2025000020019, se informa que las liquidaciones se encuentran aún en elaboración para su cierre definitivo.</t>
  </si>
  <si>
    <t>El cuestionario de beneficiarios y sostenibilidad del proyecto BPIN 2025000020019: “Implementación del Programa de Alimentación Escolar – PAE – para el segundo semestre de 2025 en el departamento de Sucre, se encuentra en elaboración por parte de la Oficina de PAE, será remitido a la mayor brevedad posible.</t>
  </si>
  <si>
    <t xml:space="preserve"> Se informa que la reunión fue realizada con el equipo de Calidad Educativa y la funcionaria Zamara García  el día 25 de mayo, donde la funcionaria explico el requerimiento para el aplicativo Gesproy y el equipo de Calidad Educativa indicó que va a revisar la información para determinar los pasos a seguir para la actualización del cronograma.</t>
  </si>
  <si>
    <t>Proyecto se encuentra terminado desde diciembre de 2025, en espera de liquidaciones</t>
  </si>
  <si>
    <t xml:space="preserve">Proyecto en estado terminado. Se está a la espera de mesa técnica con DNP para definir unos pagos que no han migrado a la plataforma, además falta liquidar contratod e interventoría para proceder con su cierre.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</si>
</sst>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3" fillId="0" borderId="1" xfId="0" applyFont="1" applyBorder="1" applyAlignment="1">
      <alignment horizontal="left" vertical="center" wrapText="1"/>
    </xf>
    <xf numFmtId="2"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3" fontId="3" fillId="0" borderId="1" xfId="0" applyNumberFormat="1"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61" totalsRowShown="0">
  <autoFilter ref="A2:BA61" xr:uid="{00000000-0009-0000-0100-000001000000}"/>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ÍNDICE DE EFICIENCIA EN LA TERMINACIÓN"/>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filterColumn colId="11">
      <filters>
        <dateGroupItem year="2020" month="4" dateTimeGrouping="month"/>
        <dateGroupItem year="2020" month="5" dateTimeGrouping="month"/>
        <dateGroupItem year="2019" dateTimeGrouping="year"/>
        <dateGroupItem year="2018" dateTimeGrouping="year"/>
        <dateGroupItem year="2014" dateTimeGrouping="year"/>
        <dateGroupItem year="2013" dateTimeGrouping="year"/>
        <dateGroupItem year="2012" dateTimeGrouping="year"/>
      </filters>
    </filterColumn>
  </autoFilter>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60"/>
  <sheetViews>
    <sheetView tabSelected="1" topLeftCell="A2" workbookViewId="0">
      <selection activeCell="AW22" sqref="AW22"/>
    </sheetView>
  </sheetViews>
  <sheetFormatPr baseColWidth="10" defaultColWidth="9.109375" defaultRowHeight="14.4" x14ac:dyDescent="0.3"/>
  <cols>
    <col min="1" max="2" width="25.6640625" customWidth="1"/>
    <col min="3" max="3" width="48.6640625" customWidth="1"/>
    <col min="4" max="4" width="44.6640625" customWidth="1"/>
    <col min="5" max="5" width="33.109375" customWidth="1"/>
    <col min="6" max="6" width="45.109375" customWidth="1"/>
    <col min="7" max="7" width="34.44140625" customWidth="1"/>
    <col min="8" max="33" width="25.6640625" customWidth="1"/>
    <col min="34" max="34" width="50.88671875" customWidth="1"/>
    <col min="35" max="35" width="59.77734375" customWidth="1"/>
    <col min="36" max="41" width="25.6640625" customWidth="1"/>
    <col min="42" max="42" width="25.6640625" hidden="1" customWidth="1"/>
    <col min="43" max="44" width="25.6640625" customWidth="1"/>
    <col min="45" max="45" width="34.5546875" customWidth="1"/>
    <col min="46" max="47" width="25.6640625" customWidth="1"/>
    <col min="48" max="48" width="25.6640625" hidden="1" customWidth="1"/>
    <col min="49" max="49" width="25.6640625" customWidth="1"/>
    <col min="50" max="50" width="24.6640625" customWidth="1"/>
    <col min="51" max="51" width="49.88671875" customWidth="1"/>
    <col min="52" max="53" width="25.6640625" customWidth="1"/>
  </cols>
  <sheetData>
    <row r="1" spans="1:53" ht="39.9" customHeight="1" x14ac:dyDescent="0.3">
      <c r="A1" s="9" t="s">
        <v>0</v>
      </c>
      <c r="B1" s="9"/>
      <c r="C1" s="9"/>
      <c r="D1" s="9"/>
      <c r="E1" s="9"/>
      <c r="F1" s="9"/>
      <c r="G1" s="9"/>
      <c r="H1" s="9"/>
      <c r="I1" s="9"/>
      <c r="J1" s="9"/>
      <c r="K1" s="9"/>
      <c r="L1" s="9"/>
      <c r="M1" s="9"/>
      <c r="N1" s="9"/>
      <c r="O1" s="9"/>
      <c r="P1" s="9"/>
      <c r="Q1" s="9"/>
      <c r="R1" s="9"/>
      <c r="S1" s="9"/>
      <c r="T1" s="9"/>
      <c r="U1" s="10" t="s">
        <v>1</v>
      </c>
      <c r="V1" s="10"/>
      <c r="W1" s="10"/>
      <c r="X1" s="10"/>
      <c r="Y1" s="10"/>
      <c r="Z1" s="10"/>
      <c r="AA1" s="10"/>
      <c r="AB1" s="10"/>
      <c r="AC1" s="10"/>
      <c r="AD1" s="10"/>
      <c r="AE1" s="10"/>
      <c r="AF1" s="10"/>
      <c r="AG1" s="10"/>
      <c r="AH1" s="10"/>
      <c r="AI1" s="10"/>
      <c r="AJ1" s="10"/>
      <c r="AK1" s="10"/>
      <c r="AL1" s="10"/>
      <c r="AM1" s="10"/>
      <c r="AN1" s="10"/>
      <c r="AO1" s="10"/>
      <c r="AP1" s="10"/>
      <c r="AQ1" s="10"/>
      <c r="AR1" s="10"/>
      <c r="AS1" s="9" t="s">
        <v>2</v>
      </c>
      <c r="AT1" s="9"/>
      <c r="AU1" s="9"/>
      <c r="AV1" s="9"/>
      <c r="AW1" s="9"/>
      <c r="AX1" s="9"/>
      <c r="AY1" s="9"/>
      <c r="AZ1" s="9"/>
      <c r="BA1" s="9"/>
    </row>
    <row r="2" spans="1:53" ht="69.900000000000006"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52</v>
      </c>
      <c r="AY2" s="1" t="s">
        <v>53</v>
      </c>
      <c r="AZ2" s="3" t="s">
        <v>54</v>
      </c>
      <c r="BA2" s="3" t="s">
        <v>55</v>
      </c>
    </row>
    <row r="3" spans="1:53" ht="92.25" customHeight="1" x14ac:dyDescent="0.3">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46188</v>
      </c>
      <c r="AH3" s="4"/>
      <c r="AI3" s="4"/>
      <c r="AJ3" s="6"/>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34" si="3">IF(AND($U3&gt;$V3,$G3="CONTRATADO EN EJECUCIÓN"),100,IF(AND($V3&gt;$U3,($V3-$U3)&gt;50,$G3="CONTRATADO EN EJECUCIÓN"),0,IF(AND($V3&gt;$U3,($V3-$U3)&lt;=50,$V3&lt;=60),100,IF(AND($V3&gt;$U3,($V3-$U3)&lt;=50,$V3&gt;60),$AP3,""))))</f>
        <v/>
      </c>
      <c r="AR3" s="4">
        <v>0</v>
      </c>
      <c r="AS3" s="5"/>
      <c r="AT3" s="4" t="str">
        <f t="shared" ref="AT3:AT34" si="4">IF(ISNUMBER($AJ3),IF(DAY($AJ3)=10,100,IF(DAY($AJ3)=11,80,IF(DAY($AJ3)=12,50,0))),"")</f>
        <v/>
      </c>
      <c r="AU3" s="5"/>
      <c r="AV3" s="4">
        <f t="shared" ref="AV3:AV34" si="5">IF($AR3=0,100,IF($AR3=1,90,IF($AR3=2,75,IF($AR3=3,60,IF($AR3=4,50,IF($AR3=5,25,IF($AR3&gt;=6,0,"")))))))</f>
        <v>100</v>
      </c>
      <c r="AW3" s="4" t="str">
        <f t="shared" ref="AW3:AW34" si="6">IFERROR(IF($G3="CONTRATADO EN EJECUCIÓN",IF(AND(ISNUMBER($AD3),ISNUMBER($AG3),$AD3&lt;$AG3),0,IF($AR3&gt;=1,(IFERROR(IF(ISTEXT($AH3),($AN3*0.4+$AO3*0.2+$AQ3*0.4),""),""))*$AV3/100,IFERROR(IF(ISTEXT($AH3),($AN3*0.4+$AO3*0.2+$AQ3*0.4),""),""))),IF($G3="CONTRATADO SIN ACTA DE INICIO",IF(AND($AG3-$AB3&gt;=0,$AG3-$AB3&lt;=30),100,0),"")),"Revisar")</f>
        <v/>
      </c>
      <c r="AX3" s="5"/>
      <c r="AY3" s="4" t="s">
        <v>1006</v>
      </c>
      <c r="AZ3" s="4" t="s">
        <v>67</v>
      </c>
      <c r="BA3" s="4" t="s">
        <v>68</v>
      </c>
    </row>
    <row r="4" spans="1:53" ht="69.900000000000006" customHeight="1" x14ac:dyDescent="0.3">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46188</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5"/>
      <c r="AY4" s="4" t="s">
        <v>77</v>
      </c>
      <c r="AZ4" s="4" t="s">
        <v>78</v>
      </c>
      <c r="BA4" s="4" t="s">
        <v>68</v>
      </c>
    </row>
    <row r="5" spans="1:53" ht="179.25" customHeight="1" x14ac:dyDescent="0.3">
      <c r="A5" s="4" t="s">
        <v>79</v>
      </c>
      <c r="B5" s="4" t="s">
        <v>80</v>
      </c>
      <c r="C5" s="4" t="s">
        <v>81</v>
      </c>
      <c r="D5" s="4" t="s">
        <v>82</v>
      </c>
      <c r="E5" s="4" t="s">
        <v>73</v>
      </c>
      <c r="F5" s="4" t="s">
        <v>83</v>
      </c>
      <c r="G5" s="4" t="s">
        <v>62</v>
      </c>
      <c r="H5" s="4" t="s">
        <v>63</v>
      </c>
      <c r="I5" s="4" t="s">
        <v>75</v>
      </c>
      <c r="J5" s="4" t="s">
        <v>76</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45689</v>
      </c>
      <c r="AF5" s="6"/>
      <c r="AG5" s="6">
        <v>46188</v>
      </c>
      <c r="AH5" s="4" t="s">
        <v>84</v>
      </c>
      <c r="AI5" s="4" t="s">
        <v>910</v>
      </c>
      <c r="AJ5" s="6">
        <v>46183</v>
      </c>
      <c r="AK5" s="4"/>
      <c r="AL5" s="4"/>
      <c r="AM5" s="4"/>
      <c r="AN5" s="4" t="str">
        <f t="shared" si="0"/>
        <v/>
      </c>
      <c r="AO5" s="4" t="str">
        <f t="shared" si="1"/>
        <v/>
      </c>
      <c r="AP5" s="4">
        <f t="shared" si="2"/>
        <v>100</v>
      </c>
      <c r="AQ5" s="4" t="str">
        <f t="shared" si="3"/>
        <v/>
      </c>
      <c r="AR5" s="4">
        <v>0</v>
      </c>
      <c r="AS5" s="5"/>
      <c r="AT5" s="4">
        <f>IF(ISNUMBER($AJ5),IF(DAY($AJ5)=10,100,IF(DAY($AJ5)=11,80,IF(DAY($AJ5)=12,50,0))),"")</f>
        <v>100</v>
      </c>
      <c r="AU5" s="5">
        <v>0</v>
      </c>
      <c r="AV5" s="4">
        <f t="shared" si="5"/>
        <v>100</v>
      </c>
      <c r="AW5" s="4" t="str">
        <f t="shared" si="6"/>
        <v/>
      </c>
      <c r="AX5" s="5">
        <v>0</v>
      </c>
      <c r="AY5" s="4" t="s">
        <v>900</v>
      </c>
      <c r="AZ5" s="4" t="s">
        <v>78</v>
      </c>
      <c r="BA5" s="4" t="s">
        <v>68</v>
      </c>
    </row>
    <row r="6" spans="1:53" ht="156" customHeight="1" x14ac:dyDescent="0.3">
      <c r="A6" s="4" t="s">
        <v>85</v>
      </c>
      <c r="B6" s="4" t="s">
        <v>86</v>
      </c>
      <c r="C6" s="4" t="s">
        <v>87</v>
      </c>
      <c r="D6" s="4" t="s">
        <v>88</v>
      </c>
      <c r="E6" s="4" t="s">
        <v>73</v>
      </c>
      <c r="F6" s="4" t="s">
        <v>89</v>
      </c>
      <c r="G6" s="4" t="s">
        <v>90</v>
      </c>
      <c r="H6" s="4" t="s">
        <v>91</v>
      </c>
      <c r="I6" s="4" t="s">
        <v>75</v>
      </c>
      <c r="J6" s="4" t="s">
        <v>76</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v>46188</v>
      </c>
      <c r="AH6" s="7" t="s">
        <v>1000</v>
      </c>
      <c r="AI6" s="4" t="s">
        <v>1004</v>
      </c>
      <c r="AJ6" s="6">
        <v>46184</v>
      </c>
      <c r="AK6" s="4"/>
      <c r="AL6" s="4"/>
      <c r="AM6" s="4"/>
      <c r="AN6" s="4">
        <f t="shared" si="0"/>
        <v>0</v>
      </c>
      <c r="AO6" s="4">
        <f t="shared" si="1"/>
        <v>0</v>
      </c>
      <c r="AP6" s="4">
        <f t="shared" si="2"/>
        <v>100</v>
      </c>
      <c r="AQ6" s="4">
        <f t="shared" si="3"/>
        <v>100</v>
      </c>
      <c r="AR6" s="4">
        <v>0</v>
      </c>
      <c r="AS6" s="5"/>
      <c r="AT6" s="4">
        <f>IF(ISNUMBER($AJ6),IF(DAY($AJ6)=10,100,IF(DAY($AJ6)=11,80,IF(DAY($AJ6)=12,50,0))),"")</f>
        <v>80</v>
      </c>
      <c r="AU6" s="5">
        <v>0</v>
      </c>
      <c r="AV6" s="4">
        <f t="shared" si="5"/>
        <v>100</v>
      </c>
      <c r="AW6" s="4">
        <f t="shared" si="6"/>
        <v>0</v>
      </c>
      <c r="AX6" s="5"/>
      <c r="AY6" s="4" t="s">
        <v>92</v>
      </c>
      <c r="AZ6" s="4" t="s">
        <v>78</v>
      </c>
      <c r="BA6" s="4" t="s">
        <v>93</v>
      </c>
    </row>
    <row r="7" spans="1:53" ht="109.2" customHeight="1" x14ac:dyDescent="0.3">
      <c r="A7" s="4" t="s">
        <v>94</v>
      </c>
      <c r="B7" s="4" t="s">
        <v>95</v>
      </c>
      <c r="C7" s="4" t="s">
        <v>96</v>
      </c>
      <c r="D7" s="4" t="s">
        <v>97</v>
      </c>
      <c r="E7" s="4" t="s">
        <v>98</v>
      </c>
      <c r="F7" s="4" t="s">
        <v>99</v>
      </c>
      <c r="G7" s="4" t="s">
        <v>62</v>
      </c>
      <c r="H7" s="4" t="s">
        <v>63</v>
      </c>
      <c r="I7" s="4" t="s">
        <v>100</v>
      </c>
      <c r="J7" s="4" t="s">
        <v>101</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46188</v>
      </c>
      <c r="AH7" s="4" t="s">
        <v>102</v>
      </c>
      <c r="AI7" s="4" t="s">
        <v>964</v>
      </c>
      <c r="AJ7" s="6">
        <v>46184</v>
      </c>
      <c r="AK7" s="4"/>
      <c r="AL7" s="4"/>
      <c r="AM7" s="4"/>
      <c r="AN7" s="4" t="str">
        <f t="shared" si="0"/>
        <v/>
      </c>
      <c r="AO7" s="4" t="str">
        <f t="shared" si="1"/>
        <v/>
      </c>
      <c r="AP7" s="4">
        <f t="shared" si="2"/>
        <v>100</v>
      </c>
      <c r="AQ7" s="4" t="str">
        <f t="shared" si="3"/>
        <v/>
      </c>
      <c r="AR7" s="4">
        <v>1</v>
      </c>
      <c r="AS7" s="5"/>
      <c r="AT7" s="4">
        <f t="shared" si="4"/>
        <v>80</v>
      </c>
      <c r="AU7" s="5">
        <v>50</v>
      </c>
      <c r="AV7" s="4">
        <f t="shared" si="5"/>
        <v>90</v>
      </c>
      <c r="AW7" s="4" t="str">
        <f t="shared" si="6"/>
        <v/>
      </c>
      <c r="AX7" s="5">
        <v>50</v>
      </c>
      <c r="AY7" s="4" t="s">
        <v>965</v>
      </c>
      <c r="AZ7" s="4" t="s">
        <v>103</v>
      </c>
      <c r="BA7" s="4" t="s">
        <v>104</v>
      </c>
    </row>
    <row r="8" spans="1:53" ht="117" customHeight="1" x14ac:dyDescent="0.3">
      <c r="A8" s="4" t="s">
        <v>105</v>
      </c>
      <c r="B8" s="4" t="s">
        <v>86</v>
      </c>
      <c r="C8" s="4" t="s">
        <v>106</v>
      </c>
      <c r="D8" s="4" t="s">
        <v>107</v>
      </c>
      <c r="E8" s="4" t="s">
        <v>73</v>
      </c>
      <c r="F8" s="4" t="s">
        <v>108</v>
      </c>
      <c r="G8" s="4" t="s">
        <v>109</v>
      </c>
      <c r="H8" s="4" t="s">
        <v>110</v>
      </c>
      <c r="I8" s="4" t="s">
        <v>75</v>
      </c>
      <c r="J8" s="4" t="s">
        <v>111</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c r="AG8" s="6">
        <v>46188</v>
      </c>
      <c r="AH8" s="4" t="s">
        <v>66</v>
      </c>
      <c r="AI8" s="4" t="s">
        <v>1001</v>
      </c>
      <c r="AJ8" s="6">
        <v>46184</v>
      </c>
      <c r="AK8" s="4"/>
      <c r="AL8" s="4"/>
      <c r="AM8" s="4"/>
      <c r="AN8" s="4" t="str">
        <f t="shared" si="0"/>
        <v/>
      </c>
      <c r="AO8" s="4" t="str">
        <f t="shared" si="1"/>
        <v/>
      </c>
      <c r="AP8" s="4">
        <f t="shared" si="2"/>
        <v>100</v>
      </c>
      <c r="AQ8" s="4" t="str">
        <f t="shared" si="3"/>
        <v/>
      </c>
      <c r="AR8" s="4">
        <v>0</v>
      </c>
      <c r="AS8" s="5"/>
      <c r="AT8" s="4">
        <f>IF(ISNUMBER($AJ8),IF(DAY($AJ8)=10,100,IF(DAY($AJ8)=11,80,IF(DAY($AJ8)=12,50,0))),"")</f>
        <v>80</v>
      </c>
      <c r="AU8" s="5">
        <v>100</v>
      </c>
      <c r="AV8" s="4">
        <f t="shared" si="5"/>
        <v>100</v>
      </c>
      <c r="AW8" s="4" t="str">
        <f t="shared" si="6"/>
        <v/>
      </c>
      <c r="AX8" s="5">
        <v>100</v>
      </c>
      <c r="AY8" s="4" t="s">
        <v>198</v>
      </c>
      <c r="AZ8" s="4" t="s">
        <v>67</v>
      </c>
      <c r="BA8" s="4" t="s">
        <v>93</v>
      </c>
    </row>
    <row r="9" spans="1:53" ht="192.75" customHeight="1" x14ac:dyDescent="0.3">
      <c r="A9" s="4" t="s">
        <v>112</v>
      </c>
      <c r="B9" s="4" t="s">
        <v>95</v>
      </c>
      <c r="C9" s="4" t="s">
        <v>113</v>
      </c>
      <c r="D9" s="4" t="s">
        <v>114</v>
      </c>
      <c r="E9" s="4" t="s">
        <v>98</v>
      </c>
      <c r="F9" s="4" t="s">
        <v>115</v>
      </c>
      <c r="G9" s="4" t="s">
        <v>90</v>
      </c>
      <c r="H9" s="4" t="s">
        <v>91</v>
      </c>
      <c r="I9" s="4" t="s">
        <v>100</v>
      </c>
      <c r="J9" s="4" t="s">
        <v>65</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6">
        <v>42922</v>
      </c>
      <c r="Z9" s="6">
        <v>43249</v>
      </c>
      <c r="AA9" s="6">
        <v>43532</v>
      </c>
      <c r="AB9" s="6">
        <v>43532</v>
      </c>
      <c r="AC9" s="6">
        <v>43591</v>
      </c>
      <c r="AD9" s="6">
        <v>45467</v>
      </c>
      <c r="AE9" s="6">
        <v>45467</v>
      </c>
      <c r="AF9" s="6"/>
      <c r="AG9" s="6">
        <v>46188</v>
      </c>
      <c r="AH9" s="4" t="s">
        <v>925</v>
      </c>
      <c r="AI9" s="4" t="s">
        <v>955</v>
      </c>
      <c r="AJ9" s="6">
        <v>46184</v>
      </c>
      <c r="AK9" s="4"/>
      <c r="AL9" s="4"/>
      <c r="AM9" s="4"/>
      <c r="AN9" s="4">
        <f t="shared" si="0"/>
        <v>0</v>
      </c>
      <c r="AO9" s="4">
        <f t="shared" si="1"/>
        <v>0</v>
      </c>
      <c r="AP9" s="4">
        <f t="shared" si="2"/>
        <v>100</v>
      </c>
      <c r="AQ9" s="4">
        <f t="shared" si="3"/>
        <v>100</v>
      </c>
      <c r="AR9" s="4">
        <v>0</v>
      </c>
      <c r="AS9" s="5"/>
      <c r="AT9" s="4">
        <f t="shared" si="4"/>
        <v>80</v>
      </c>
      <c r="AU9" s="5">
        <v>0</v>
      </c>
      <c r="AV9" s="4">
        <f t="shared" si="5"/>
        <v>100</v>
      </c>
      <c r="AW9" s="4">
        <f t="shared" si="6"/>
        <v>0</v>
      </c>
      <c r="AX9" s="5">
        <v>0</v>
      </c>
      <c r="AY9" s="4" t="s">
        <v>966</v>
      </c>
      <c r="AZ9" s="4" t="s">
        <v>78</v>
      </c>
      <c r="BA9" s="4" t="s">
        <v>116</v>
      </c>
    </row>
    <row r="10" spans="1:53" ht="149.25" customHeight="1" x14ac:dyDescent="0.3">
      <c r="A10" s="4" t="s">
        <v>117</v>
      </c>
      <c r="B10" s="4" t="s">
        <v>80</v>
      </c>
      <c r="C10" s="4" t="s">
        <v>118</v>
      </c>
      <c r="D10" s="4" t="s">
        <v>119</v>
      </c>
      <c r="E10" s="4" t="s">
        <v>73</v>
      </c>
      <c r="F10" s="4" t="s">
        <v>120</v>
      </c>
      <c r="G10" s="4" t="s">
        <v>62</v>
      </c>
      <c r="H10" s="4" t="s">
        <v>63</v>
      </c>
      <c r="I10" s="4" t="s">
        <v>121</v>
      </c>
      <c r="J10" s="4" t="s">
        <v>76</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46188</v>
      </c>
      <c r="AH10" s="4" t="s">
        <v>122</v>
      </c>
      <c r="AI10" s="4" t="s">
        <v>910</v>
      </c>
      <c r="AJ10" s="6">
        <v>46183</v>
      </c>
      <c r="AK10" s="4"/>
      <c r="AL10" s="4"/>
      <c r="AM10" s="4"/>
      <c r="AN10" s="4" t="str">
        <f t="shared" si="0"/>
        <v/>
      </c>
      <c r="AO10" s="4" t="str">
        <f t="shared" si="1"/>
        <v/>
      </c>
      <c r="AP10" s="4">
        <f t="shared" si="2"/>
        <v>100</v>
      </c>
      <c r="AQ10" s="4" t="str">
        <f t="shared" si="3"/>
        <v/>
      </c>
      <c r="AR10" s="4">
        <v>0</v>
      </c>
      <c r="AS10" s="5"/>
      <c r="AT10" s="4">
        <f t="shared" si="4"/>
        <v>100</v>
      </c>
      <c r="AU10" s="5">
        <v>0</v>
      </c>
      <c r="AV10" s="4">
        <f t="shared" si="5"/>
        <v>100</v>
      </c>
      <c r="AW10" s="4" t="str">
        <f t="shared" si="6"/>
        <v/>
      </c>
      <c r="AX10" s="5">
        <v>0</v>
      </c>
      <c r="AY10" s="4" t="s">
        <v>900</v>
      </c>
      <c r="AZ10" s="4" t="s">
        <v>123</v>
      </c>
      <c r="BA10" s="4" t="s">
        <v>124</v>
      </c>
    </row>
    <row r="11" spans="1:53" ht="141.75" customHeight="1" x14ac:dyDescent="0.3">
      <c r="A11" s="4" t="s">
        <v>125</v>
      </c>
      <c r="B11" s="4" t="s">
        <v>80</v>
      </c>
      <c r="C11" s="4" t="s">
        <v>126</v>
      </c>
      <c r="D11" s="4" t="s">
        <v>127</v>
      </c>
      <c r="E11" s="4" t="s">
        <v>73</v>
      </c>
      <c r="F11" s="4" t="s">
        <v>128</v>
      </c>
      <c r="G11" s="4" t="s">
        <v>62</v>
      </c>
      <c r="H11" s="4" t="s">
        <v>63</v>
      </c>
      <c r="I11" s="4" t="s">
        <v>75</v>
      </c>
      <c r="J11" s="4" t="s">
        <v>76</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46188</v>
      </c>
      <c r="AH11" s="4" t="s">
        <v>84</v>
      </c>
      <c r="AI11" s="4" t="s">
        <v>910</v>
      </c>
      <c r="AJ11" s="6">
        <v>46183</v>
      </c>
      <c r="AK11" s="4"/>
      <c r="AL11" s="4"/>
      <c r="AM11" s="4"/>
      <c r="AN11" s="4" t="str">
        <f t="shared" si="0"/>
        <v/>
      </c>
      <c r="AO11" s="4" t="str">
        <f t="shared" si="1"/>
        <v/>
      </c>
      <c r="AP11" s="4">
        <f t="shared" si="2"/>
        <v>100</v>
      </c>
      <c r="AQ11" s="4">
        <f t="shared" si="3"/>
        <v>100</v>
      </c>
      <c r="AR11" s="4">
        <v>0</v>
      </c>
      <c r="AS11" s="5"/>
      <c r="AT11" s="4">
        <f t="shared" si="4"/>
        <v>100</v>
      </c>
      <c r="AU11" s="5">
        <v>0</v>
      </c>
      <c r="AV11" s="4">
        <f t="shared" si="5"/>
        <v>100</v>
      </c>
      <c r="AW11" s="4" t="str">
        <f t="shared" si="6"/>
        <v/>
      </c>
      <c r="AX11" s="5">
        <v>0</v>
      </c>
      <c r="AY11" s="4" t="s">
        <v>900</v>
      </c>
      <c r="AZ11" s="4" t="s">
        <v>78</v>
      </c>
      <c r="BA11" s="4" t="s">
        <v>129</v>
      </c>
    </row>
    <row r="12" spans="1:53" ht="104.25" customHeight="1" x14ac:dyDescent="0.3">
      <c r="A12" s="4" t="s">
        <v>130</v>
      </c>
      <c r="B12" s="4" t="s">
        <v>95</v>
      </c>
      <c r="C12" s="4" t="s">
        <v>131</v>
      </c>
      <c r="D12" s="4" t="s">
        <v>132</v>
      </c>
      <c r="E12" s="4" t="s">
        <v>98</v>
      </c>
      <c r="F12" s="4" t="s">
        <v>133</v>
      </c>
      <c r="G12" s="4" t="s">
        <v>62</v>
      </c>
      <c r="H12" s="4" t="s">
        <v>63</v>
      </c>
      <c r="I12" s="4" t="s">
        <v>100</v>
      </c>
      <c r="J12" s="4" t="s">
        <v>134</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46188</v>
      </c>
      <c r="AH12" s="4" t="s">
        <v>926</v>
      </c>
      <c r="AI12" s="4" t="s">
        <v>962</v>
      </c>
      <c r="AJ12" s="6">
        <v>46184</v>
      </c>
      <c r="AK12" s="4"/>
      <c r="AL12" s="4"/>
      <c r="AM12" s="4"/>
      <c r="AN12" s="4" t="str">
        <f t="shared" si="0"/>
        <v/>
      </c>
      <c r="AO12" s="4" t="str">
        <f t="shared" si="1"/>
        <v/>
      </c>
      <c r="AP12" s="4">
        <f t="shared" si="2"/>
        <v>100</v>
      </c>
      <c r="AQ12" s="4" t="str">
        <f t="shared" si="3"/>
        <v/>
      </c>
      <c r="AR12" s="4">
        <v>0</v>
      </c>
      <c r="AS12" s="5"/>
      <c r="AT12" s="4">
        <f t="shared" si="4"/>
        <v>80</v>
      </c>
      <c r="AU12" s="5"/>
      <c r="AV12" s="4">
        <f t="shared" si="5"/>
        <v>100</v>
      </c>
      <c r="AW12" s="4" t="str">
        <f t="shared" si="6"/>
        <v/>
      </c>
      <c r="AX12" s="5"/>
      <c r="AY12" s="4" t="s">
        <v>967</v>
      </c>
      <c r="AZ12" s="4" t="s">
        <v>123</v>
      </c>
      <c r="BA12" s="4" t="s">
        <v>135</v>
      </c>
    </row>
    <row r="13" spans="1:53" ht="182.25" customHeight="1" x14ac:dyDescent="0.3">
      <c r="A13" s="4" t="s">
        <v>136</v>
      </c>
      <c r="B13" s="4" t="s">
        <v>80</v>
      </c>
      <c r="C13" s="4" t="s">
        <v>137</v>
      </c>
      <c r="D13" s="4" t="s">
        <v>138</v>
      </c>
      <c r="E13" s="4" t="s">
        <v>139</v>
      </c>
      <c r="F13" s="4" t="s">
        <v>140</v>
      </c>
      <c r="G13" s="4" t="s">
        <v>90</v>
      </c>
      <c r="H13" s="4" t="s">
        <v>91</v>
      </c>
      <c r="I13" s="4" t="s">
        <v>141</v>
      </c>
      <c r="J13" s="4" t="s">
        <v>142</v>
      </c>
      <c r="K13" s="5">
        <v>14525812035</v>
      </c>
      <c r="L13" s="5">
        <v>0</v>
      </c>
      <c r="M13" s="5">
        <v>0</v>
      </c>
      <c r="N13" s="5">
        <v>0</v>
      </c>
      <c r="O13" s="5">
        <v>14525812035</v>
      </c>
      <c r="P13" s="5">
        <v>13157700631.99</v>
      </c>
      <c r="Q13" s="6">
        <v>45603</v>
      </c>
      <c r="R13" s="6">
        <v>45076</v>
      </c>
      <c r="S13" s="6">
        <v>45066</v>
      </c>
      <c r="T13" s="6">
        <v>45084</v>
      </c>
      <c r="U13" s="5">
        <v>99.75</v>
      </c>
      <c r="V13" s="5">
        <v>90.58</v>
      </c>
      <c r="W13" s="4">
        <v>0</v>
      </c>
      <c r="X13" s="4">
        <v>0</v>
      </c>
      <c r="Y13" s="6">
        <v>45064</v>
      </c>
      <c r="Z13" s="6">
        <v>45260</v>
      </c>
      <c r="AA13" s="6">
        <v>45289</v>
      </c>
      <c r="AB13" s="6">
        <v>45219</v>
      </c>
      <c r="AC13" s="6">
        <v>45301</v>
      </c>
      <c r="AD13" s="6">
        <v>45987</v>
      </c>
      <c r="AE13" s="6"/>
      <c r="AF13" s="6"/>
      <c r="AG13" s="6">
        <v>46188</v>
      </c>
      <c r="AH13" s="7" t="s">
        <v>304</v>
      </c>
      <c r="AI13" s="4" t="s">
        <v>911</v>
      </c>
      <c r="AJ13" s="6">
        <v>46183</v>
      </c>
      <c r="AK13" s="4"/>
      <c r="AL13" s="4"/>
      <c r="AM13" s="4"/>
      <c r="AN13" s="4">
        <f t="shared" si="0"/>
        <v>0</v>
      </c>
      <c r="AO13" s="4">
        <f t="shared" si="1"/>
        <v>0</v>
      </c>
      <c r="AP13" s="4">
        <f t="shared" si="2"/>
        <v>100</v>
      </c>
      <c r="AQ13" s="4">
        <f t="shared" si="3"/>
        <v>100</v>
      </c>
      <c r="AR13" s="4">
        <v>1</v>
      </c>
      <c r="AS13" s="5"/>
      <c r="AT13" s="4">
        <f>IF(ISNUMBER($AJ13),IF(DAY($AJ13)=10,100,IF(DAY($AJ13)=11,80,IF(DAY($AJ13)=12,50,0))),"")</f>
        <v>100</v>
      </c>
      <c r="AU13" s="5"/>
      <c r="AV13" s="4">
        <f t="shared" si="5"/>
        <v>90</v>
      </c>
      <c r="AW13" s="4">
        <f t="shared" si="6"/>
        <v>0</v>
      </c>
      <c r="AX13" s="5"/>
      <c r="AY13" s="4" t="s">
        <v>143</v>
      </c>
      <c r="AZ13" s="4" t="s">
        <v>144</v>
      </c>
      <c r="BA13" s="4" t="s">
        <v>93</v>
      </c>
    </row>
    <row r="14" spans="1:53" ht="133.5" customHeight="1" x14ac:dyDescent="0.3">
      <c r="A14" s="4" t="s">
        <v>145</v>
      </c>
      <c r="B14" s="4" t="s">
        <v>95</v>
      </c>
      <c r="C14" s="4" t="s">
        <v>146</v>
      </c>
      <c r="D14" s="4" t="s">
        <v>147</v>
      </c>
      <c r="E14" s="4" t="s">
        <v>98</v>
      </c>
      <c r="F14" s="4" t="s">
        <v>148</v>
      </c>
      <c r="G14" s="4" t="s">
        <v>62</v>
      </c>
      <c r="H14" s="4" t="s">
        <v>63</v>
      </c>
      <c r="I14" s="4" t="s">
        <v>64</v>
      </c>
      <c r="J14" s="4" t="s">
        <v>101</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46188</v>
      </c>
      <c r="AH14" s="4" t="s">
        <v>149</v>
      </c>
      <c r="AI14" s="4" t="s">
        <v>963</v>
      </c>
      <c r="AJ14" s="6">
        <v>46184</v>
      </c>
      <c r="AK14" s="4"/>
      <c r="AL14" s="4"/>
      <c r="AM14" s="4"/>
      <c r="AN14" s="4" t="str">
        <f t="shared" si="0"/>
        <v/>
      </c>
      <c r="AO14" s="4" t="str">
        <f t="shared" si="1"/>
        <v/>
      </c>
      <c r="AP14" s="4">
        <f t="shared" si="2"/>
        <v>100</v>
      </c>
      <c r="AQ14" s="4" t="str">
        <f t="shared" si="3"/>
        <v/>
      </c>
      <c r="AR14" s="4">
        <v>1</v>
      </c>
      <c r="AS14" s="5"/>
      <c r="AT14" s="4">
        <f t="shared" si="4"/>
        <v>80</v>
      </c>
      <c r="AU14" s="5">
        <v>0</v>
      </c>
      <c r="AV14" s="4">
        <f t="shared" si="5"/>
        <v>90</v>
      </c>
      <c r="AW14" s="4" t="str">
        <f t="shared" si="6"/>
        <v/>
      </c>
      <c r="AX14" s="5">
        <v>0</v>
      </c>
      <c r="AY14" s="4" t="s">
        <v>150</v>
      </c>
      <c r="AZ14" s="4" t="s">
        <v>103</v>
      </c>
      <c r="BA14" s="4" t="s">
        <v>151</v>
      </c>
    </row>
    <row r="15" spans="1:53" ht="230.25" customHeight="1" x14ac:dyDescent="0.3">
      <c r="A15" s="4" t="s">
        <v>152</v>
      </c>
      <c r="B15" s="4" t="s">
        <v>80</v>
      </c>
      <c r="C15" s="4" t="s">
        <v>153</v>
      </c>
      <c r="D15" s="4" t="s">
        <v>154</v>
      </c>
      <c r="E15" s="4" t="s">
        <v>73</v>
      </c>
      <c r="F15" s="4" t="s">
        <v>155</v>
      </c>
      <c r="G15" s="4" t="s">
        <v>90</v>
      </c>
      <c r="H15" s="4" t="s">
        <v>91</v>
      </c>
      <c r="I15" s="4" t="s">
        <v>75</v>
      </c>
      <c r="J15" s="4" t="s">
        <v>111</v>
      </c>
      <c r="K15" s="5">
        <v>9991937324.4500008</v>
      </c>
      <c r="L15" s="5">
        <v>0</v>
      </c>
      <c r="M15" s="5">
        <v>239336814</v>
      </c>
      <c r="N15" s="5">
        <v>0</v>
      </c>
      <c r="O15" s="5">
        <v>10231274138.450001</v>
      </c>
      <c r="P15" s="5">
        <v>9677239657.1900005</v>
      </c>
      <c r="Q15" s="6">
        <v>45595</v>
      </c>
      <c r="R15" s="6">
        <v>44321</v>
      </c>
      <c r="S15" s="6">
        <v>44187</v>
      </c>
      <c r="T15" s="6">
        <v>44337</v>
      </c>
      <c r="U15" s="5">
        <v>73.08</v>
      </c>
      <c r="V15" s="5">
        <v>94.98</v>
      </c>
      <c r="W15" s="4">
        <v>1.01</v>
      </c>
      <c r="X15" s="4">
        <v>0.98</v>
      </c>
      <c r="Y15" s="6">
        <v>44183</v>
      </c>
      <c r="Z15" s="6">
        <v>44363</v>
      </c>
      <c r="AA15" s="6">
        <v>44463</v>
      </c>
      <c r="AB15" s="6">
        <v>44463</v>
      </c>
      <c r="AC15" s="6">
        <v>44545</v>
      </c>
      <c r="AD15" s="6">
        <v>46241</v>
      </c>
      <c r="AE15" s="6"/>
      <c r="AF15" s="6"/>
      <c r="AG15" s="6">
        <v>46188</v>
      </c>
      <c r="AH15" s="7" t="s">
        <v>903</v>
      </c>
      <c r="AI15" s="7" t="s">
        <v>912</v>
      </c>
      <c r="AJ15" s="6">
        <v>46183</v>
      </c>
      <c r="AK15" s="4"/>
      <c r="AL15" s="4"/>
      <c r="AM15" s="4"/>
      <c r="AN15" s="4">
        <f t="shared" si="0"/>
        <v>100</v>
      </c>
      <c r="AO15" s="4">
        <f t="shared" si="1"/>
        <v>100</v>
      </c>
      <c r="AP15" s="4">
        <f t="shared" si="2"/>
        <v>0</v>
      </c>
      <c r="AQ15" s="4">
        <f t="shared" si="3"/>
        <v>0</v>
      </c>
      <c r="AR15" s="4">
        <v>1</v>
      </c>
      <c r="AS15" s="5"/>
      <c r="AT15" s="4">
        <f t="shared" si="4"/>
        <v>100</v>
      </c>
      <c r="AU15" s="5">
        <v>100</v>
      </c>
      <c r="AV15" s="4">
        <f t="shared" si="5"/>
        <v>90</v>
      </c>
      <c r="AW15" s="4">
        <f>IFERROR(IF($G15="CONTRATADO EN EJECUCIÓN",IF(AND(ISNUMBER($AD15),ISNUMBER($AG15),$AD15&lt;$AG15),0,IF($AR15&gt;=1,(IFERROR(IF(ISTEXT($AH15),($AN15*0.4+$AO15*0.2+$AQ15*0.4),""),""))*$AV15/100,IFERROR(IF(ISTEXT($AH15),($AN15*0.4+$AO15*0.2+$AQ15*0.4),""),""))),IF($G15="CONTRATADO SIN ACTA DE INICIO",IF(AND($AG15-$AB15&gt;=0,$AG15-$AB15&lt;=30),100,0),"")),"Revisar")</f>
        <v>54</v>
      </c>
      <c r="AX15" s="5"/>
      <c r="AY15" s="7" t="s">
        <v>913</v>
      </c>
      <c r="AZ15" s="4" t="s">
        <v>78</v>
      </c>
      <c r="BA15" s="4" t="s">
        <v>93</v>
      </c>
    </row>
    <row r="16" spans="1:53" ht="94.5" customHeight="1" x14ac:dyDescent="0.3">
      <c r="A16" s="4" t="s">
        <v>156</v>
      </c>
      <c r="B16" s="4" t="s">
        <v>80</v>
      </c>
      <c r="C16" s="4" t="s">
        <v>157</v>
      </c>
      <c r="D16" s="4" t="s">
        <v>158</v>
      </c>
      <c r="E16" s="4" t="s">
        <v>139</v>
      </c>
      <c r="F16" s="4" t="s">
        <v>159</v>
      </c>
      <c r="G16" s="4" t="s">
        <v>62</v>
      </c>
      <c r="H16" s="4" t="s">
        <v>63</v>
      </c>
      <c r="I16" s="4" t="s">
        <v>160</v>
      </c>
      <c r="J16" s="4" t="s">
        <v>101</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46188</v>
      </c>
      <c r="AH16" s="7" t="s">
        <v>161</v>
      </c>
      <c r="AI16" s="7" t="s">
        <v>914</v>
      </c>
      <c r="AJ16" s="6">
        <v>46183</v>
      </c>
      <c r="AK16" s="4"/>
      <c r="AL16" s="4"/>
      <c r="AM16" s="4"/>
      <c r="AN16" s="4" t="str">
        <f t="shared" si="0"/>
        <v/>
      </c>
      <c r="AO16" s="4" t="str">
        <f t="shared" si="1"/>
        <v/>
      </c>
      <c r="AP16" s="4">
        <f t="shared" si="2"/>
        <v>100</v>
      </c>
      <c r="AQ16" s="4">
        <f t="shared" si="3"/>
        <v>100</v>
      </c>
      <c r="AR16" s="4">
        <v>0</v>
      </c>
      <c r="AS16" s="5"/>
      <c r="AT16" s="4">
        <f t="shared" si="4"/>
        <v>100</v>
      </c>
      <c r="AU16" s="5">
        <v>0</v>
      </c>
      <c r="AV16" s="4">
        <f t="shared" si="5"/>
        <v>100</v>
      </c>
      <c r="AW16" s="4" t="str">
        <f t="shared" si="6"/>
        <v/>
      </c>
      <c r="AX16" s="5">
        <v>0</v>
      </c>
      <c r="AY16" s="4" t="s">
        <v>900</v>
      </c>
      <c r="AZ16" s="4" t="s">
        <v>123</v>
      </c>
      <c r="BA16" s="4" t="s">
        <v>162</v>
      </c>
    </row>
    <row r="17" spans="1:53" ht="69.900000000000006" customHeight="1" x14ac:dyDescent="0.3">
      <c r="A17" s="4" t="s">
        <v>163</v>
      </c>
      <c r="B17" s="4" t="s">
        <v>95</v>
      </c>
      <c r="C17" s="4" t="s">
        <v>164</v>
      </c>
      <c r="D17" s="4" t="s">
        <v>165</v>
      </c>
      <c r="E17" s="4" t="s">
        <v>98</v>
      </c>
      <c r="F17" s="4" t="s">
        <v>166</v>
      </c>
      <c r="G17" s="4" t="s">
        <v>62</v>
      </c>
      <c r="H17" s="4" t="s">
        <v>63</v>
      </c>
      <c r="I17" s="4" t="s">
        <v>100</v>
      </c>
      <c r="J17" s="4" t="s">
        <v>167</v>
      </c>
      <c r="K17" s="5">
        <v>16839824924.799999</v>
      </c>
      <c r="L17" s="5">
        <v>0</v>
      </c>
      <c r="M17" s="5">
        <v>0</v>
      </c>
      <c r="N17" s="5">
        <v>0</v>
      </c>
      <c r="O17" s="5">
        <v>16839824924.799999</v>
      </c>
      <c r="P17" s="5">
        <v>15214817530.110001</v>
      </c>
      <c r="Q17" s="6">
        <v>46020</v>
      </c>
      <c r="R17" s="6">
        <v>45084</v>
      </c>
      <c r="S17" s="6">
        <v>45066</v>
      </c>
      <c r="T17" s="6">
        <v>45100</v>
      </c>
      <c r="U17" s="5">
        <v>99.8</v>
      </c>
      <c r="V17" s="5">
        <v>90.35</v>
      </c>
      <c r="W17" s="4"/>
      <c r="X17" s="4"/>
      <c r="Y17" s="6">
        <v>45064</v>
      </c>
      <c r="Z17" s="6">
        <v>45212</v>
      </c>
      <c r="AA17" s="6">
        <v>45450</v>
      </c>
      <c r="AB17" s="6">
        <v>45386</v>
      </c>
      <c r="AC17" s="6">
        <v>45469</v>
      </c>
      <c r="AD17" s="6">
        <v>46173</v>
      </c>
      <c r="AE17" s="6">
        <v>46173</v>
      </c>
      <c r="AF17" s="6"/>
      <c r="AG17" s="6">
        <v>46188</v>
      </c>
      <c r="AH17" s="4" t="s">
        <v>927</v>
      </c>
      <c r="AI17" s="4" t="s">
        <v>958</v>
      </c>
      <c r="AJ17" s="6">
        <v>46184</v>
      </c>
      <c r="AK17" s="4"/>
      <c r="AL17" s="4"/>
      <c r="AM17" s="4"/>
      <c r="AN17" s="4" t="str">
        <f t="shared" si="0"/>
        <v/>
      </c>
      <c r="AO17" s="4" t="str">
        <f t="shared" si="1"/>
        <v/>
      </c>
      <c r="AP17" s="4">
        <f t="shared" si="2"/>
        <v>100</v>
      </c>
      <c r="AQ17" s="4" t="str">
        <f t="shared" si="3"/>
        <v/>
      </c>
      <c r="AR17" s="4">
        <v>2</v>
      </c>
      <c r="AS17" s="5"/>
      <c r="AT17" s="4">
        <f t="shared" si="4"/>
        <v>80</v>
      </c>
      <c r="AU17" s="5">
        <v>100</v>
      </c>
      <c r="AV17" s="4">
        <f t="shared" si="5"/>
        <v>75</v>
      </c>
      <c r="AW17" s="4" t="str">
        <f t="shared" si="6"/>
        <v/>
      </c>
      <c r="AX17" s="5">
        <v>100</v>
      </c>
      <c r="AY17" s="4" t="s">
        <v>968</v>
      </c>
      <c r="AZ17" s="4" t="s">
        <v>123</v>
      </c>
      <c r="BA17" s="4" t="s">
        <v>168</v>
      </c>
    </row>
    <row r="18" spans="1:53" ht="69.900000000000006" customHeight="1" x14ac:dyDescent="0.3">
      <c r="A18" s="4" t="s">
        <v>169</v>
      </c>
      <c r="B18" s="4" t="s">
        <v>80</v>
      </c>
      <c r="C18" s="4" t="s">
        <v>170</v>
      </c>
      <c r="D18" s="4" t="s">
        <v>171</v>
      </c>
      <c r="E18" s="4" t="s">
        <v>73</v>
      </c>
      <c r="F18" s="4" t="s">
        <v>172</v>
      </c>
      <c r="G18" s="4" t="s">
        <v>62</v>
      </c>
      <c r="H18" s="4" t="s">
        <v>63</v>
      </c>
      <c r="I18" s="4" t="s">
        <v>75</v>
      </c>
      <c r="J18" s="4" t="s">
        <v>173</v>
      </c>
      <c r="K18" s="5">
        <v>3342400000</v>
      </c>
      <c r="L18" s="5">
        <v>0</v>
      </c>
      <c r="M18" s="5">
        <v>30000000</v>
      </c>
      <c r="N18" s="5">
        <v>0</v>
      </c>
      <c r="O18" s="5">
        <v>3372400000</v>
      </c>
      <c r="P18" s="5">
        <v>3286321003.9000001</v>
      </c>
      <c r="Q18" s="6">
        <v>45777</v>
      </c>
      <c r="R18" s="6">
        <v>44569</v>
      </c>
      <c r="S18" s="6">
        <v>44556</v>
      </c>
      <c r="T18" s="6">
        <v>44629</v>
      </c>
      <c r="U18" s="5">
        <v>100</v>
      </c>
      <c r="V18" s="5">
        <v>98.34</v>
      </c>
      <c r="W18" s="4"/>
      <c r="X18" s="4"/>
      <c r="Y18" s="6">
        <v>44552</v>
      </c>
      <c r="Z18" s="6">
        <v>44825</v>
      </c>
      <c r="AA18" s="6">
        <v>44833</v>
      </c>
      <c r="AB18" s="6">
        <v>44833</v>
      </c>
      <c r="AC18" s="6">
        <v>44925</v>
      </c>
      <c r="AD18" s="6">
        <v>45549</v>
      </c>
      <c r="AE18" s="6">
        <v>45549</v>
      </c>
      <c r="AF18" s="6"/>
      <c r="AG18" s="6">
        <v>46188</v>
      </c>
      <c r="AH18" s="4" t="s">
        <v>906</v>
      </c>
      <c r="AI18" s="4" t="s">
        <v>915</v>
      </c>
      <c r="AJ18" s="6">
        <v>46183</v>
      </c>
      <c r="AK18" s="4"/>
      <c r="AL18" s="4"/>
      <c r="AM18" s="4"/>
      <c r="AN18" s="4" t="str">
        <f t="shared" si="0"/>
        <v/>
      </c>
      <c r="AO18" s="4" t="str">
        <f t="shared" si="1"/>
        <v/>
      </c>
      <c r="AP18" s="4">
        <f t="shared" si="2"/>
        <v>100</v>
      </c>
      <c r="AQ18" s="4" t="str">
        <f t="shared" si="3"/>
        <v/>
      </c>
      <c r="AR18" s="4">
        <v>1</v>
      </c>
      <c r="AS18" s="5"/>
      <c r="AT18" s="4">
        <f t="shared" si="4"/>
        <v>100</v>
      </c>
      <c r="AU18" s="5">
        <v>100</v>
      </c>
      <c r="AV18" s="4">
        <f t="shared" si="5"/>
        <v>90</v>
      </c>
      <c r="AW18" s="4" t="str">
        <f t="shared" si="6"/>
        <v/>
      </c>
      <c r="AX18" s="5">
        <v>50</v>
      </c>
      <c r="AY18" s="4" t="s">
        <v>916</v>
      </c>
      <c r="AZ18" s="4" t="s">
        <v>78</v>
      </c>
      <c r="BA18" s="4" t="s">
        <v>93</v>
      </c>
    </row>
    <row r="19" spans="1:53" ht="69.900000000000006" customHeight="1" x14ac:dyDescent="0.3">
      <c r="A19" s="4" t="s">
        <v>174</v>
      </c>
      <c r="B19" s="4" t="s">
        <v>80</v>
      </c>
      <c r="C19" s="4" t="s">
        <v>175</v>
      </c>
      <c r="D19" s="4" t="s">
        <v>176</v>
      </c>
      <c r="E19" s="4" t="s">
        <v>73</v>
      </c>
      <c r="F19" s="4" t="s">
        <v>172</v>
      </c>
      <c r="G19" s="4" t="s">
        <v>62</v>
      </c>
      <c r="H19" s="4" t="s">
        <v>63</v>
      </c>
      <c r="I19" s="4" t="s">
        <v>75</v>
      </c>
      <c r="J19" s="4" t="s">
        <v>173</v>
      </c>
      <c r="K19" s="5">
        <v>990000000</v>
      </c>
      <c r="L19" s="5">
        <v>0</v>
      </c>
      <c r="M19" s="5">
        <v>30000000</v>
      </c>
      <c r="N19" s="5">
        <v>0</v>
      </c>
      <c r="O19" s="5">
        <v>1020000000</v>
      </c>
      <c r="P19" s="5">
        <v>910522475.99000001</v>
      </c>
      <c r="Q19" s="6">
        <v>45653</v>
      </c>
      <c r="R19" s="6">
        <v>44569</v>
      </c>
      <c r="S19" s="6">
        <v>44556</v>
      </c>
      <c r="T19" s="6">
        <v>44629</v>
      </c>
      <c r="U19" s="5">
        <v>100</v>
      </c>
      <c r="V19" s="5">
        <v>92.21</v>
      </c>
      <c r="W19" s="4"/>
      <c r="X19" s="4"/>
      <c r="Y19" s="6">
        <v>44552</v>
      </c>
      <c r="Z19" s="6">
        <v>44775</v>
      </c>
      <c r="AA19" s="6">
        <v>44833</v>
      </c>
      <c r="AB19" s="6">
        <v>44833</v>
      </c>
      <c r="AC19" s="6">
        <v>44925</v>
      </c>
      <c r="AD19" s="6">
        <v>45549</v>
      </c>
      <c r="AE19" s="6">
        <v>45549</v>
      </c>
      <c r="AF19" s="6"/>
      <c r="AG19" s="6">
        <v>46188</v>
      </c>
      <c r="AH19" s="4" t="s">
        <v>905</v>
      </c>
      <c r="AI19" s="4" t="s">
        <v>915</v>
      </c>
      <c r="AJ19" s="6">
        <v>46183</v>
      </c>
      <c r="AK19" s="4"/>
      <c r="AL19" s="4"/>
      <c r="AM19" s="4"/>
      <c r="AN19" s="4" t="str">
        <f t="shared" si="0"/>
        <v/>
      </c>
      <c r="AO19" s="4" t="str">
        <f t="shared" si="1"/>
        <v/>
      </c>
      <c r="AP19" s="4">
        <f t="shared" si="2"/>
        <v>100</v>
      </c>
      <c r="AQ19" s="4" t="str">
        <f t="shared" si="3"/>
        <v/>
      </c>
      <c r="AR19" s="4">
        <v>1</v>
      </c>
      <c r="AS19" s="5"/>
      <c r="AT19" s="4">
        <f t="shared" si="4"/>
        <v>100</v>
      </c>
      <c r="AU19" s="5">
        <v>100</v>
      </c>
      <c r="AV19" s="4">
        <f t="shared" si="5"/>
        <v>90</v>
      </c>
      <c r="AW19" s="4" t="str">
        <f t="shared" si="6"/>
        <v/>
      </c>
      <c r="AX19" s="5">
        <v>50</v>
      </c>
      <c r="AY19" s="4" t="s">
        <v>916</v>
      </c>
      <c r="AZ19" s="4" t="s">
        <v>78</v>
      </c>
      <c r="BA19" s="4" t="s">
        <v>177</v>
      </c>
    </row>
    <row r="20" spans="1:53" ht="69.900000000000006" customHeight="1" x14ac:dyDescent="0.3">
      <c r="A20" s="4" t="s">
        <v>178</v>
      </c>
      <c r="B20" s="4" t="s">
        <v>80</v>
      </c>
      <c r="C20" s="4" t="s">
        <v>179</v>
      </c>
      <c r="D20" s="4" t="s">
        <v>180</v>
      </c>
      <c r="E20" s="4" t="s">
        <v>73</v>
      </c>
      <c r="F20" s="4" t="s">
        <v>181</v>
      </c>
      <c r="G20" s="4" t="s">
        <v>62</v>
      </c>
      <c r="H20" s="4" t="s">
        <v>63</v>
      </c>
      <c r="I20" s="4" t="s">
        <v>75</v>
      </c>
      <c r="J20" s="4" t="s">
        <v>173</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46188</v>
      </c>
      <c r="AH20" s="4" t="s">
        <v>909</v>
      </c>
      <c r="AI20" s="4" t="s">
        <v>910</v>
      </c>
      <c r="AJ20" s="6">
        <v>46183</v>
      </c>
      <c r="AK20" s="4"/>
      <c r="AL20" s="4"/>
      <c r="AM20" s="4"/>
      <c r="AN20" s="4" t="str">
        <f t="shared" si="0"/>
        <v/>
      </c>
      <c r="AO20" s="4" t="str">
        <f t="shared" si="1"/>
        <v/>
      </c>
      <c r="AP20" s="4" t="str">
        <f t="shared" si="2"/>
        <v/>
      </c>
      <c r="AQ20" s="4" t="str">
        <f t="shared" si="3"/>
        <v/>
      </c>
      <c r="AR20" s="4">
        <v>1</v>
      </c>
      <c r="AS20" s="5"/>
      <c r="AT20" s="4">
        <f t="shared" si="4"/>
        <v>100</v>
      </c>
      <c r="AU20" s="5">
        <v>0</v>
      </c>
      <c r="AV20" s="4">
        <f t="shared" si="5"/>
        <v>90</v>
      </c>
      <c r="AW20" s="4" t="str">
        <f t="shared" si="6"/>
        <v/>
      </c>
      <c r="AX20" s="5">
        <v>0</v>
      </c>
      <c r="AY20" s="4" t="s">
        <v>900</v>
      </c>
      <c r="AZ20" s="4" t="s">
        <v>78</v>
      </c>
      <c r="BA20" s="4" t="s">
        <v>93</v>
      </c>
    </row>
    <row r="21" spans="1:53" ht="193.5" customHeight="1" x14ac:dyDescent="0.3">
      <c r="A21" s="4" t="s">
        <v>182</v>
      </c>
      <c r="B21" s="4" t="s">
        <v>80</v>
      </c>
      <c r="C21" s="4" t="s">
        <v>183</v>
      </c>
      <c r="D21" s="4" t="s">
        <v>184</v>
      </c>
      <c r="E21" s="4" t="s">
        <v>73</v>
      </c>
      <c r="F21" s="4" t="s">
        <v>185</v>
      </c>
      <c r="G21" s="4" t="s">
        <v>62</v>
      </c>
      <c r="H21" s="4" t="s">
        <v>91</v>
      </c>
      <c r="I21" s="4" t="s">
        <v>75</v>
      </c>
      <c r="J21" s="4" t="s">
        <v>186</v>
      </c>
      <c r="K21" s="5">
        <v>4300000000</v>
      </c>
      <c r="L21" s="5">
        <v>0</v>
      </c>
      <c r="M21" s="5">
        <v>48000000</v>
      </c>
      <c r="N21" s="5">
        <v>0</v>
      </c>
      <c r="O21" s="5">
        <v>4348000000</v>
      </c>
      <c r="P21" s="5">
        <v>3523293028</v>
      </c>
      <c r="Q21" s="6">
        <v>45989</v>
      </c>
      <c r="R21" s="6">
        <v>44758</v>
      </c>
      <c r="S21" s="6">
        <v>44687</v>
      </c>
      <c r="T21" s="6">
        <v>44825</v>
      </c>
      <c r="U21" s="5">
        <v>100.07</v>
      </c>
      <c r="V21" s="5">
        <v>82.14</v>
      </c>
      <c r="W21" s="4">
        <v>0</v>
      </c>
      <c r="X21" s="4">
        <v>0</v>
      </c>
      <c r="Y21" s="6">
        <v>44685</v>
      </c>
      <c r="Z21" s="6">
        <v>44867</v>
      </c>
      <c r="AA21" s="6">
        <v>44917</v>
      </c>
      <c r="AB21" s="6">
        <v>44917</v>
      </c>
      <c r="AC21" s="6">
        <v>44998</v>
      </c>
      <c r="AD21" s="6">
        <v>45912</v>
      </c>
      <c r="AE21" s="6"/>
      <c r="AF21" s="6"/>
      <c r="AG21" s="6">
        <v>46188</v>
      </c>
      <c r="AH21" s="4" t="s">
        <v>904</v>
      </c>
      <c r="AI21" s="4" t="s">
        <v>918</v>
      </c>
      <c r="AJ21" s="6">
        <v>46183</v>
      </c>
      <c r="AK21" s="4"/>
      <c r="AL21" s="4"/>
      <c r="AM21" s="4"/>
      <c r="AN21" s="4" t="str">
        <f t="shared" si="0"/>
        <v/>
      </c>
      <c r="AO21" s="4" t="str">
        <f t="shared" si="1"/>
        <v/>
      </c>
      <c r="AP21" s="4">
        <f t="shared" si="2"/>
        <v>100</v>
      </c>
      <c r="AQ21" s="4" t="str">
        <f t="shared" si="3"/>
        <v/>
      </c>
      <c r="AR21" s="4">
        <v>1</v>
      </c>
      <c r="AS21" s="5"/>
      <c r="AT21" s="4">
        <f t="shared" si="4"/>
        <v>100</v>
      </c>
      <c r="AU21" s="5">
        <v>100</v>
      </c>
      <c r="AV21" s="4">
        <f t="shared" si="5"/>
        <v>90</v>
      </c>
      <c r="AW21" s="4" t="str">
        <f t="shared" si="6"/>
        <v/>
      </c>
      <c r="AX21" s="5">
        <v>100</v>
      </c>
      <c r="AY21" s="4" t="s">
        <v>917</v>
      </c>
      <c r="AZ21" s="4" t="s">
        <v>187</v>
      </c>
      <c r="BA21" s="4" t="s">
        <v>93</v>
      </c>
    </row>
    <row r="22" spans="1:53" ht="99.75" customHeight="1" x14ac:dyDescent="0.3">
      <c r="A22" s="4" t="s">
        <v>188</v>
      </c>
      <c r="B22" s="4" t="s">
        <v>95</v>
      </c>
      <c r="C22" s="4" t="s">
        <v>189</v>
      </c>
      <c r="D22" s="4" t="s">
        <v>190</v>
      </c>
      <c r="E22" s="4" t="s">
        <v>191</v>
      </c>
      <c r="F22" s="4" t="s">
        <v>192</v>
      </c>
      <c r="G22" s="4" t="s">
        <v>90</v>
      </c>
      <c r="H22" s="4" t="s">
        <v>193</v>
      </c>
      <c r="I22" s="4" t="s">
        <v>100</v>
      </c>
      <c r="J22" s="4" t="s">
        <v>167</v>
      </c>
      <c r="K22" s="5">
        <v>24245749081.080002</v>
      </c>
      <c r="L22" s="5">
        <v>0</v>
      </c>
      <c r="M22" s="5">
        <v>0</v>
      </c>
      <c r="N22" s="5">
        <v>0</v>
      </c>
      <c r="O22" s="5">
        <v>24245749081.080002</v>
      </c>
      <c r="P22" s="5">
        <v>17987770186.490002</v>
      </c>
      <c r="Q22" s="6">
        <v>46057</v>
      </c>
      <c r="R22" s="6">
        <v>45084</v>
      </c>
      <c r="S22" s="6">
        <v>45066</v>
      </c>
      <c r="T22" s="6">
        <v>45105</v>
      </c>
      <c r="U22" s="5">
        <v>71.459999999999994</v>
      </c>
      <c r="V22" s="5">
        <v>74.19</v>
      </c>
      <c r="W22" s="4">
        <v>1</v>
      </c>
      <c r="X22" s="4">
        <v>0.86</v>
      </c>
      <c r="Y22" s="6">
        <v>45064</v>
      </c>
      <c r="Z22" s="6">
        <v>45546</v>
      </c>
      <c r="AA22" s="6">
        <v>45649</v>
      </c>
      <c r="AB22" s="6">
        <v>45649</v>
      </c>
      <c r="AC22" s="6">
        <v>45714</v>
      </c>
      <c r="AD22" s="6">
        <v>46214</v>
      </c>
      <c r="AE22" s="6"/>
      <c r="AF22" s="6"/>
      <c r="AG22" s="6">
        <v>46188</v>
      </c>
      <c r="AH22" s="4" t="s">
        <v>928</v>
      </c>
      <c r="AI22" s="4" t="s">
        <v>959</v>
      </c>
      <c r="AJ22" s="6">
        <v>46184</v>
      </c>
      <c r="AK22" s="4"/>
      <c r="AL22" s="4"/>
      <c r="AM22" s="4"/>
      <c r="AN22" s="4">
        <f t="shared" si="0"/>
        <v>100</v>
      </c>
      <c r="AO22" s="4">
        <f t="shared" si="1"/>
        <v>100</v>
      </c>
      <c r="AP22" s="4">
        <f t="shared" si="2"/>
        <v>100</v>
      </c>
      <c r="AQ22" s="4">
        <f t="shared" si="3"/>
        <v>100</v>
      </c>
      <c r="AR22" s="4">
        <v>1</v>
      </c>
      <c r="AS22" s="5"/>
      <c r="AT22" s="4">
        <f t="shared" si="4"/>
        <v>80</v>
      </c>
      <c r="AU22" s="5">
        <v>90</v>
      </c>
      <c r="AV22" s="4">
        <f t="shared" si="5"/>
        <v>90</v>
      </c>
      <c r="AW22" s="4">
        <f t="shared" si="6"/>
        <v>90</v>
      </c>
      <c r="AX22" s="5"/>
      <c r="AY22" s="4" t="s">
        <v>969</v>
      </c>
      <c r="AZ22" s="4" t="s">
        <v>67</v>
      </c>
      <c r="BA22" s="4" t="s">
        <v>68</v>
      </c>
    </row>
    <row r="23" spans="1:53" ht="150" customHeight="1" x14ac:dyDescent="0.3">
      <c r="A23" s="4" t="s">
        <v>194</v>
      </c>
      <c r="B23" s="4" t="s">
        <v>95</v>
      </c>
      <c r="C23" s="4" t="s">
        <v>195</v>
      </c>
      <c r="D23" s="4" t="s">
        <v>196</v>
      </c>
      <c r="E23" s="4" t="s">
        <v>98</v>
      </c>
      <c r="F23" s="4" t="s">
        <v>197</v>
      </c>
      <c r="G23" s="4" t="s">
        <v>109</v>
      </c>
      <c r="H23" s="4" t="s">
        <v>110</v>
      </c>
      <c r="I23" s="4" t="s">
        <v>100</v>
      </c>
      <c r="J23" s="4" t="s">
        <v>101</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c r="AG23" s="6">
        <v>46188</v>
      </c>
      <c r="AH23" s="4"/>
      <c r="AI23" s="4"/>
      <c r="AJ23" s="6"/>
      <c r="AK23" s="4"/>
      <c r="AL23" s="4"/>
      <c r="AM23" s="4"/>
      <c r="AN23" s="4" t="str">
        <f t="shared" si="0"/>
        <v/>
      </c>
      <c r="AO23" s="4" t="str">
        <f t="shared" si="1"/>
        <v/>
      </c>
      <c r="AP23" s="4">
        <f t="shared" si="2"/>
        <v>100</v>
      </c>
      <c r="AQ23" s="4" t="str">
        <f t="shared" si="3"/>
        <v/>
      </c>
      <c r="AR23" s="4">
        <v>1</v>
      </c>
      <c r="AS23" s="5"/>
      <c r="AT23" s="4" t="str">
        <f t="shared" si="4"/>
        <v/>
      </c>
      <c r="AU23" s="5"/>
      <c r="AV23" s="4">
        <f t="shared" si="5"/>
        <v>90</v>
      </c>
      <c r="AW23" s="4" t="str">
        <f t="shared" si="6"/>
        <v/>
      </c>
      <c r="AX23" s="5"/>
      <c r="AY23" s="4" t="s">
        <v>198</v>
      </c>
      <c r="AZ23" s="4" t="s">
        <v>103</v>
      </c>
      <c r="BA23" s="4" t="s">
        <v>68</v>
      </c>
    </row>
    <row r="24" spans="1:53" ht="69.900000000000006" customHeight="1" x14ac:dyDescent="0.3">
      <c r="A24" s="4" t="s">
        <v>199</v>
      </c>
      <c r="B24" s="4" t="s">
        <v>57</v>
      </c>
      <c r="C24" s="4" t="s">
        <v>200</v>
      </c>
      <c r="D24" s="4" t="s">
        <v>201</v>
      </c>
      <c r="E24" s="4" t="s">
        <v>202</v>
      </c>
      <c r="F24" s="4" t="s">
        <v>203</v>
      </c>
      <c r="G24" s="4" t="s">
        <v>62</v>
      </c>
      <c r="H24" s="4" t="s">
        <v>110</v>
      </c>
      <c r="I24" s="4" t="s">
        <v>204</v>
      </c>
      <c r="J24" s="4" t="s">
        <v>205</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46188</v>
      </c>
      <c r="AH24" s="4"/>
      <c r="AI24" s="4"/>
      <c r="AJ24" s="6"/>
      <c r="AK24" s="4"/>
      <c r="AL24" s="4"/>
      <c r="AM24" s="4"/>
      <c r="AN24" s="4" t="str">
        <f t="shared" si="0"/>
        <v/>
      </c>
      <c r="AO24" s="4" t="str">
        <f t="shared" si="1"/>
        <v/>
      </c>
      <c r="AP24" s="4">
        <f t="shared" si="2"/>
        <v>100</v>
      </c>
      <c r="AQ24" s="4" t="str">
        <f t="shared" si="3"/>
        <v/>
      </c>
      <c r="AR24" s="4">
        <v>0</v>
      </c>
      <c r="AS24" s="5"/>
      <c r="AT24" s="4" t="str">
        <f t="shared" si="4"/>
        <v/>
      </c>
      <c r="AU24" s="5"/>
      <c r="AV24" s="4">
        <f t="shared" si="5"/>
        <v>100</v>
      </c>
      <c r="AW24" s="4" t="str">
        <f t="shared" si="6"/>
        <v/>
      </c>
      <c r="AX24" s="5"/>
      <c r="AY24" s="4" t="s">
        <v>206</v>
      </c>
      <c r="AZ24" s="4" t="s">
        <v>78</v>
      </c>
      <c r="BA24" s="4" t="s">
        <v>207</v>
      </c>
    </row>
    <row r="25" spans="1:53" ht="69.900000000000006" customHeight="1" x14ac:dyDescent="0.3">
      <c r="A25" s="4" t="s">
        <v>208</v>
      </c>
      <c r="B25" s="4" t="s">
        <v>80</v>
      </c>
      <c r="C25" s="4" t="s">
        <v>209</v>
      </c>
      <c r="D25" s="4" t="s">
        <v>210</v>
      </c>
      <c r="E25" s="4" t="s">
        <v>211</v>
      </c>
      <c r="F25" s="4" t="s">
        <v>212</v>
      </c>
      <c r="G25" s="4" t="s">
        <v>109</v>
      </c>
      <c r="H25" s="4" t="s">
        <v>110</v>
      </c>
      <c r="I25" s="4" t="s">
        <v>160</v>
      </c>
      <c r="J25" s="4" t="s">
        <v>101</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c r="AG25" s="6">
        <v>46188</v>
      </c>
      <c r="AH25" s="4"/>
      <c r="AI25" s="4"/>
      <c r="AJ25" s="6">
        <v>46183</v>
      </c>
      <c r="AK25" s="4"/>
      <c r="AL25" s="4"/>
      <c r="AM25" s="4"/>
      <c r="AN25" s="4" t="str">
        <f t="shared" si="0"/>
        <v/>
      </c>
      <c r="AO25" s="4" t="str">
        <f t="shared" si="1"/>
        <v/>
      </c>
      <c r="AP25" s="4">
        <f t="shared" si="2"/>
        <v>100</v>
      </c>
      <c r="AQ25" s="4" t="str">
        <f t="shared" si="3"/>
        <v/>
      </c>
      <c r="AR25" s="4">
        <v>0</v>
      </c>
      <c r="AS25" s="5"/>
      <c r="AT25" s="4">
        <f>IF(ISNUMBER($AJ25),IF(DAY($AJ25)=10,100,IF(DAY($AJ25)=11,80,IF(DAY($AJ25)=12,50,0))),"")</f>
        <v>100</v>
      </c>
      <c r="AU25" s="5"/>
      <c r="AV25" s="4">
        <f t="shared" si="5"/>
        <v>100</v>
      </c>
      <c r="AW25" s="4" t="str">
        <f t="shared" si="6"/>
        <v/>
      </c>
      <c r="AX25" s="5"/>
      <c r="AY25" s="4" t="s">
        <v>198</v>
      </c>
      <c r="AZ25" s="4" t="s">
        <v>78</v>
      </c>
      <c r="BA25" s="4" t="s">
        <v>68</v>
      </c>
    </row>
    <row r="26" spans="1:53" ht="96" customHeight="1" x14ac:dyDescent="0.3">
      <c r="A26" s="4">
        <v>2021002700364</v>
      </c>
      <c r="B26" s="4" t="s">
        <v>95</v>
      </c>
      <c r="C26" s="4" t="s">
        <v>213</v>
      </c>
      <c r="D26" s="4" t="s">
        <v>214</v>
      </c>
      <c r="E26" s="4" t="s">
        <v>211</v>
      </c>
      <c r="F26" s="4" t="s">
        <v>215</v>
      </c>
      <c r="G26" s="4" t="s">
        <v>90</v>
      </c>
      <c r="H26" s="4" t="s">
        <v>193</v>
      </c>
      <c r="I26" s="4" t="s">
        <v>100</v>
      </c>
      <c r="J26" s="4" t="s">
        <v>101</v>
      </c>
      <c r="K26" s="5">
        <v>8561481683</v>
      </c>
      <c r="L26" s="5">
        <v>7999399317</v>
      </c>
      <c r="M26" s="5">
        <v>0</v>
      </c>
      <c r="N26" s="5">
        <v>0</v>
      </c>
      <c r="O26" s="5">
        <v>16560881000</v>
      </c>
      <c r="P26" s="5">
        <v>14913018366.49</v>
      </c>
      <c r="Q26" s="6">
        <v>46157</v>
      </c>
      <c r="R26" s="6">
        <v>45104</v>
      </c>
      <c r="S26" s="6">
        <v>45100</v>
      </c>
      <c r="T26" s="6">
        <v>45100</v>
      </c>
      <c r="U26" s="5">
        <v>91.81</v>
      </c>
      <c r="V26" s="5">
        <v>90.05</v>
      </c>
      <c r="W26" s="4">
        <v>0</v>
      </c>
      <c r="X26" s="4">
        <v>0</v>
      </c>
      <c r="Y26" s="6">
        <v>45100</v>
      </c>
      <c r="Z26" s="6">
        <v>45252</v>
      </c>
      <c r="AA26" s="6">
        <v>45433</v>
      </c>
      <c r="AB26" s="6">
        <v>45433</v>
      </c>
      <c r="AC26" s="6">
        <v>45509</v>
      </c>
      <c r="AD26" s="6">
        <v>46204</v>
      </c>
      <c r="AE26" s="6"/>
      <c r="AF26" s="6"/>
      <c r="AG26" s="6">
        <v>46188</v>
      </c>
      <c r="AH26" s="4" t="s">
        <v>929</v>
      </c>
      <c r="AI26" s="4" t="s">
        <v>957</v>
      </c>
      <c r="AJ26" s="6">
        <v>46184</v>
      </c>
      <c r="AK26" s="4"/>
      <c r="AL26" s="4"/>
      <c r="AM26" s="4"/>
      <c r="AN26" s="4">
        <f t="shared" si="0"/>
        <v>0</v>
      </c>
      <c r="AO26" s="4">
        <f t="shared" si="1"/>
        <v>0</v>
      </c>
      <c r="AP26" s="4">
        <f t="shared" si="2"/>
        <v>100</v>
      </c>
      <c r="AQ26" s="4">
        <f t="shared" si="3"/>
        <v>100</v>
      </c>
      <c r="AR26" s="4">
        <v>2</v>
      </c>
      <c r="AS26" s="5"/>
      <c r="AT26" s="4">
        <f t="shared" si="4"/>
        <v>80</v>
      </c>
      <c r="AU26" s="5">
        <v>100</v>
      </c>
      <c r="AV26" s="4">
        <f t="shared" si="5"/>
        <v>75</v>
      </c>
      <c r="AW26" s="4">
        <f t="shared" si="6"/>
        <v>30</v>
      </c>
      <c r="AX26" s="5"/>
      <c r="AY26" s="4" t="s">
        <v>970</v>
      </c>
      <c r="AZ26" s="4" t="s">
        <v>123</v>
      </c>
      <c r="BA26" s="4" t="s">
        <v>207</v>
      </c>
    </row>
    <row r="27" spans="1:53" ht="103.5" customHeight="1" x14ac:dyDescent="0.3">
      <c r="A27" s="4" t="s">
        <v>216</v>
      </c>
      <c r="B27" s="4" t="s">
        <v>80</v>
      </c>
      <c r="C27" s="4" t="s">
        <v>217</v>
      </c>
      <c r="D27" s="4" t="s">
        <v>218</v>
      </c>
      <c r="E27" s="4" t="s">
        <v>219</v>
      </c>
      <c r="F27" s="4" t="s">
        <v>220</v>
      </c>
      <c r="G27" s="4" t="s">
        <v>62</v>
      </c>
      <c r="H27" s="4" t="s">
        <v>63</v>
      </c>
      <c r="I27" s="4" t="s">
        <v>141</v>
      </c>
      <c r="J27" s="4" t="s">
        <v>167</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46188</v>
      </c>
      <c r="AH27" s="4" t="s">
        <v>907</v>
      </c>
      <c r="AI27" s="7" t="s">
        <v>919</v>
      </c>
      <c r="AJ27" s="6">
        <v>46183</v>
      </c>
      <c r="AK27" s="4"/>
      <c r="AL27" s="4"/>
      <c r="AM27" s="4"/>
      <c r="AN27" s="4" t="str">
        <f t="shared" si="0"/>
        <v/>
      </c>
      <c r="AO27" s="4" t="str">
        <f t="shared" si="1"/>
        <v/>
      </c>
      <c r="AP27" s="4">
        <f t="shared" si="2"/>
        <v>100</v>
      </c>
      <c r="AQ27" s="4" t="str">
        <f t="shared" si="3"/>
        <v/>
      </c>
      <c r="AR27" s="4">
        <v>1</v>
      </c>
      <c r="AS27" s="5"/>
      <c r="AT27" s="4">
        <f>IF(ISNUMBER($AJ27),IF(DAY($AJ27)=10,100,IF(DAY($AJ27)=11,80,IF(DAY($AJ27)=12,50,0))),"")</f>
        <v>100</v>
      </c>
      <c r="AU27" s="5">
        <v>0</v>
      </c>
      <c r="AV27" s="4">
        <f t="shared" si="5"/>
        <v>90</v>
      </c>
      <c r="AW27" s="4" t="str">
        <f t="shared" si="6"/>
        <v/>
      </c>
      <c r="AX27" s="5">
        <v>0</v>
      </c>
      <c r="AY27" s="4" t="s">
        <v>900</v>
      </c>
      <c r="AZ27" s="4" t="s">
        <v>67</v>
      </c>
      <c r="BA27" s="4" t="s">
        <v>93</v>
      </c>
    </row>
    <row r="28" spans="1:53" ht="69.900000000000006" customHeight="1" x14ac:dyDescent="0.3">
      <c r="A28" s="4" t="s">
        <v>221</v>
      </c>
      <c r="B28" s="4" t="s">
        <v>95</v>
      </c>
      <c r="C28" s="4" t="s">
        <v>222</v>
      </c>
      <c r="D28" s="4" t="s">
        <v>223</v>
      </c>
      <c r="E28" s="4" t="s">
        <v>98</v>
      </c>
      <c r="F28" s="4" t="s">
        <v>224</v>
      </c>
      <c r="G28" s="4" t="s">
        <v>109</v>
      </c>
      <c r="H28" s="4" t="s">
        <v>110</v>
      </c>
      <c r="I28" s="4" t="s">
        <v>100</v>
      </c>
      <c r="J28" s="4" t="s">
        <v>101</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c r="AG28" s="6">
        <v>46188</v>
      </c>
      <c r="AH28" s="4"/>
      <c r="AI28" s="4"/>
      <c r="AJ28" s="6"/>
      <c r="AK28" s="4"/>
      <c r="AL28" s="4"/>
      <c r="AM28" s="4"/>
      <c r="AN28" s="4" t="str">
        <f t="shared" si="0"/>
        <v/>
      </c>
      <c r="AO28" s="4" t="str">
        <f t="shared" si="1"/>
        <v/>
      </c>
      <c r="AP28" s="4">
        <f t="shared" si="2"/>
        <v>100</v>
      </c>
      <c r="AQ28" s="4" t="str">
        <f t="shared" si="3"/>
        <v/>
      </c>
      <c r="AR28" s="4">
        <v>1</v>
      </c>
      <c r="AS28" s="5"/>
      <c r="AT28" s="4" t="str">
        <f t="shared" si="4"/>
        <v/>
      </c>
      <c r="AU28" s="5"/>
      <c r="AV28" s="4">
        <f t="shared" si="5"/>
        <v>90</v>
      </c>
      <c r="AW28" s="4" t="str">
        <f t="shared" si="6"/>
        <v/>
      </c>
      <c r="AX28" s="5"/>
      <c r="AY28" s="4" t="s">
        <v>198</v>
      </c>
      <c r="AZ28" s="4" t="s">
        <v>103</v>
      </c>
      <c r="BA28" s="4" t="s">
        <v>225</v>
      </c>
    </row>
    <row r="29" spans="1:53" ht="69.900000000000006" customHeight="1" x14ac:dyDescent="0.3">
      <c r="A29" s="4">
        <v>2022002700005</v>
      </c>
      <c r="B29" s="4" t="s">
        <v>95</v>
      </c>
      <c r="C29" s="4" t="s">
        <v>226</v>
      </c>
      <c r="D29" s="4" t="s">
        <v>227</v>
      </c>
      <c r="E29" s="4" t="s">
        <v>211</v>
      </c>
      <c r="F29" s="4" t="s">
        <v>228</v>
      </c>
      <c r="G29" s="4" t="s">
        <v>62</v>
      </c>
      <c r="H29" s="4" t="s">
        <v>63</v>
      </c>
      <c r="I29" s="4" t="s">
        <v>75</v>
      </c>
      <c r="J29" s="4" t="s">
        <v>101</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v>45858</v>
      </c>
      <c r="AF29" s="6"/>
      <c r="AG29" s="6">
        <v>46188</v>
      </c>
      <c r="AH29" s="4" t="s">
        <v>930</v>
      </c>
      <c r="AI29" s="4" t="s">
        <v>971</v>
      </c>
      <c r="AJ29" s="6">
        <v>46184</v>
      </c>
      <c r="AK29" s="4"/>
      <c r="AL29" s="4"/>
      <c r="AM29" s="4"/>
      <c r="AN29" s="4" t="str">
        <f t="shared" si="0"/>
        <v/>
      </c>
      <c r="AO29" s="4" t="str">
        <f t="shared" si="1"/>
        <v/>
      </c>
      <c r="AP29" s="4">
        <f t="shared" si="2"/>
        <v>100</v>
      </c>
      <c r="AQ29" s="4" t="str">
        <f t="shared" si="3"/>
        <v/>
      </c>
      <c r="AR29" s="4">
        <v>2</v>
      </c>
      <c r="AS29" s="5"/>
      <c r="AT29" s="4">
        <f t="shared" si="4"/>
        <v>80</v>
      </c>
      <c r="AU29" s="5">
        <v>0</v>
      </c>
      <c r="AV29" s="4">
        <f t="shared" si="5"/>
        <v>75</v>
      </c>
      <c r="AW29" s="4" t="str">
        <f t="shared" si="6"/>
        <v/>
      </c>
      <c r="AX29" s="5">
        <v>0</v>
      </c>
      <c r="AY29" s="4" t="s">
        <v>229</v>
      </c>
      <c r="AZ29" s="4" t="s">
        <v>123</v>
      </c>
      <c r="BA29" s="4" t="s">
        <v>207</v>
      </c>
    </row>
    <row r="30" spans="1:53" ht="69.900000000000006" customHeight="1" x14ac:dyDescent="0.3">
      <c r="A30" s="4" t="s">
        <v>230</v>
      </c>
      <c r="B30" s="4" t="s">
        <v>95</v>
      </c>
      <c r="C30" s="4" t="s">
        <v>231</v>
      </c>
      <c r="D30" s="4" t="s">
        <v>232</v>
      </c>
      <c r="E30" s="4" t="s">
        <v>211</v>
      </c>
      <c r="F30" s="4" t="s">
        <v>233</v>
      </c>
      <c r="G30" s="4" t="s">
        <v>109</v>
      </c>
      <c r="H30" s="4" t="s">
        <v>110</v>
      </c>
      <c r="I30" s="4" t="s">
        <v>100</v>
      </c>
      <c r="J30" s="4" t="s">
        <v>101</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v>45569</v>
      </c>
      <c r="AF30" s="6"/>
      <c r="AG30" s="6">
        <v>46188</v>
      </c>
      <c r="AH30" s="4"/>
      <c r="AI30" s="4"/>
      <c r="AJ30" s="6"/>
      <c r="AK30" s="4"/>
      <c r="AL30" s="4"/>
      <c r="AM30" s="4"/>
      <c r="AN30" s="4" t="str">
        <f t="shared" si="0"/>
        <v/>
      </c>
      <c r="AO30" s="4" t="str">
        <f t="shared" si="1"/>
        <v/>
      </c>
      <c r="AP30" s="4">
        <f t="shared" si="2"/>
        <v>100</v>
      </c>
      <c r="AQ30" s="4" t="str">
        <f t="shared" si="3"/>
        <v/>
      </c>
      <c r="AR30" s="4">
        <v>1</v>
      </c>
      <c r="AS30" s="5"/>
      <c r="AT30" s="4" t="str">
        <f t="shared" si="4"/>
        <v/>
      </c>
      <c r="AU30" s="5"/>
      <c r="AV30" s="4">
        <f t="shared" si="5"/>
        <v>90</v>
      </c>
      <c r="AW30" s="4" t="str">
        <f t="shared" si="6"/>
        <v/>
      </c>
      <c r="AX30" s="5"/>
      <c r="AY30" s="4" t="s">
        <v>198</v>
      </c>
      <c r="AZ30" s="4" t="s">
        <v>123</v>
      </c>
      <c r="BA30" s="4" t="s">
        <v>234</v>
      </c>
    </row>
    <row r="31" spans="1:53" ht="69.900000000000006" customHeight="1" x14ac:dyDescent="0.3">
      <c r="A31" s="4" t="s">
        <v>235</v>
      </c>
      <c r="B31" s="4" t="s">
        <v>95</v>
      </c>
      <c r="C31" s="4" t="s">
        <v>236</v>
      </c>
      <c r="D31" s="4" t="s">
        <v>237</v>
      </c>
      <c r="E31" s="4" t="s">
        <v>238</v>
      </c>
      <c r="F31" s="4" t="s">
        <v>239</v>
      </c>
      <c r="G31" s="4" t="s">
        <v>109</v>
      </c>
      <c r="H31" s="4" t="s">
        <v>110</v>
      </c>
      <c r="I31" s="4" t="s">
        <v>100</v>
      </c>
      <c r="J31" s="4" t="s">
        <v>205</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v>45900</v>
      </c>
      <c r="AF31" s="6"/>
      <c r="AG31" s="6">
        <v>46188</v>
      </c>
      <c r="AH31" s="4"/>
      <c r="AI31" s="4"/>
      <c r="AJ31" s="6"/>
      <c r="AK31" s="4"/>
      <c r="AL31" s="4"/>
      <c r="AM31" s="4"/>
      <c r="AN31" s="4" t="str">
        <f t="shared" si="0"/>
        <v/>
      </c>
      <c r="AO31" s="4" t="str">
        <f t="shared" si="1"/>
        <v/>
      </c>
      <c r="AP31" s="4">
        <f t="shared" si="2"/>
        <v>100</v>
      </c>
      <c r="AQ31" s="4" t="str">
        <f t="shared" si="3"/>
        <v/>
      </c>
      <c r="AR31" s="4">
        <v>2</v>
      </c>
      <c r="AS31" s="5"/>
      <c r="AT31" s="4" t="str">
        <f t="shared" si="4"/>
        <v/>
      </c>
      <c r="AU31" s="5"/>
      <c r="AV31" s="4">
        <f t="shared" si="5"/>
        <v>75</v>
      </c>
      <c r="AW31" s="4" t="str">
        <f t="shared" si="6"/>
        <v/>
      </c>
      <c r="AX31" s="5"/>
      <c r="AY31" s="4" t="s">
        <v>198</v>
      </c>
      <c r="AZ31" s="4" t="s">
        <v>103</v>
      </c>
      <c r="BA31" s="4" t="s">
        <v>240</v>
      </c>
    </row>
    <row r="32" spans="1:53" ht="69.900000000000006" customHeight="1" x14ac:dyDescent="0.3">
      <c r="A32" s="4">
        <v>2023002700030</v>
      </c>
      <c r="B32" s="4" t="s">
        <v>95</v>
      </c>
      <c r="C32" s="4" t="s">
        <v>241</v>
      </c>
      <c r="D32" s="4" t="s">
        <v>242</v>
      </c>
      <c r="E32" s="4" t="s">
        <v>98</v>
      </c>
      <c r="F32" s="4" t="s">
        <v>243</v>
      </c>
      <c r="G32" s="4" t="s">
        <v>90</v>
      </c>
      <c r="H32" s="4" t="s">
        <v>91</v>
      </c>
      <c r="I32" s="4" t="s">
        <v>100</v>
      </c>
      <c r="J32" s="4" t="s">
        <v>244</v>
      </c>
      <c r="K32" s="5">
        <v>10940798931</v>
      </c>
      <c r="L32" s="5">
        <v>0</v>
      </c>
      <c r="M32" s="5">
        <v>0</v>
      </c>
      <c r="N32" s="5">
        <v>0</v>
      </c>
      <c r="O32" s="5">
        <v>10940798931</v>
      </c>
      <c r="P32" s="5">
        <v>10089171737.309999</v>
      </c>
      <c r="Q32" s="6">
        <v>46150</v>
      </c>
      <c r="R32" s="6">
        <v>45474</v>
      </c>
      <c r="S32" s="6">
        <v>45472</v>
      </c>
      <c r="T32" s="6">
        <v>45490</v>
      </c>
      <c r="U32" s="5">
        <v>97.18</v>
      </c>
      <c r="V32" s="5">
        <v>92.22</v>
      </c>
      <c r="W32" s="4">
        <v>1</v>
      </c>
      <c r="X32" s="4">
        <v>1</v>
      </c>
      <c r="Y32" s="6">
        <v>45471</v>
      </c>
      <c r="Z32" s="6">
        <v>45573</v>
      </c>
      <c r="AA32" s="6">
        <v>45793</v>
      </c>
      <c r="AB32" s="6">
        <v>45793</v>
      </c>
      <c r="AC32" s="6">
        <v>45847</v>
      </c>
      <c r="AD32" s="6">
        <v>46182</v>
      </c>
      <c r="AE32" s="6"/>
      <c r="AF32" s="6"/>
      <c r="AG32" s="6">
        <v>46188</v>
      </c>
      <c r="AH32" s="4" t="s">
        <v>931</v>
      </c>
      <c r="AI32" s="4" t="s">
        <v>961</v>
      </c>
      <c r="AJ32" s="6">
        <v>46184</v>
      </c>
      <c r="AK32" s="4"/>
      <c r="AL32" s="4"/>
      <c r="AM32" s="4"/>
      <c r="AN32" s="4">
        <f t="shared" si="0"/>
        <v>100</v>
      </c>
      <c r="AO32" s="4">
        <f t="shared" si="1"/>
        <v>100</v>
      </c>
      <c r="AP32" s="4">
        <f t="shared" si="2"/>
        <v>100</v>
      </c>
      <c r="AQ32" s="4">
        <f t="shared" si="3"/>
        <v>100</v>
      </c>
      <c r="AR32" s="4">
        <v>0</v>
      </c>
      <c r="AS32" s="5"/>
      <c r="AT32" s="4">
        <f t="shared" si="4"/>
        <v>80</v>
      </c>
      <c r="AU32" s="5">
        <v>100</v>
      </c>
      <c r="AV32" s="4">
        <f t="shared" si="5"/>
        <v>100</v>
      </c>
      <c r="AW32" s="4">
        <v>100</v>
      </c>
      <c r="AX32" s="5"/>
      <c r="AY32" s="4" t="s">
        <v>972</v>
      </c>
      <c r="AZ32" s="4" t="s">
        <v>103</v>
      </c>
      <c r="BA32" s="4" t="s">
        <v>68</v>
      </c>
    </row>
    <row r="33" spans="1:53" ht="121.8" customHeight="1" x14ac:dyDescent="0.3">
      <c r="A33" s="4" t="s">
        <v>245</v>
      </c>
      <c r="B33" s="4" t="s">
        <v>246</v>
      </c>
      <c r="C33" s="4" t="s">
        <v>247</v>
      </c>
      <c r="D33" s="4" t="s">
        <v>248</v>
      </c>
      <c r="E33" s="4" t="s">
        <v>249</v>
      </c>
      <c r="F33" s="4" t="s">
        <v>250</v>
      </c>
      <c r="G33" s="4" t="s">
        <v>62</v>
      </c>
      <c r="H33" s="4" t="s">
        <v>63</v>
      </c>
      <c r="I33" s="4" t="s">
        <v>75</v>
      </c>
      <c r="J33" s="4" t="s">
        <v>101</v>
      </c>
      <c r="K33" s="5">
        <v>8600669220</v>
      </c>
      <c r="L33" s="5">
        <v>0</v>
      </c>
      <c r="M33" s="5">
        <v>216384280</v>
      </c>
      <c r="N33" s="5">
        <v>0</v>
      </c>
      <c r="O33" s="5">
        <v>8817053500</v>
      </c>
      <c r="P33" s="5">
        <v>3440267688</v>
      </c>
      <c r="Q33" s="6">
        <v>45895</v>
      </c>
      <c r="R33" s="6">
        <v>45094</v>
      </c>
      <c r="S33" s="6">
        <v>45094</v>
      </c>
      <c r="T33" s="6">
        <v>45100</v>
      </c>
      <c r="U33" s="5">
        <v>98.16</v>
      </c>
      <c r="V33" s="5">
        <v>39.020000000000003</v>
      </c>
      <c r="W33" s="4"/>
      <c r="X33" s="4"/>
      <c r="Y33" s="6">
        <v>45093</v>
      </c>
      <c r="Z33" s="6">
        <v>45093</v>
      </c>
      <c r="AA33" s="6">
        <v>45188</v>
      </c>
      <c r="AB33" s="6">
        <v>45188</v>
      </c>
      <c r="AC33" s="6">
        <v>45202</v>
      </c>
      <c r="AD33" s="6">
        <v>46056</v>
      </c>
      <c r="AE33" s="6">
        <v>46056</v>
      </c>
      <c r="AF33" s="6"/>
      <c r="AG33" s="6">
        <v>46188</v>
      </c>
      <c r="AH33" s="7" t="s">
        <v>987</v>
      </c>
      <c r="AI33" s="7" t="s">
        <v>997</v>
      </c>
      <c r="AJ33" s="6">
        <v>46183</v>
      </c>
      <c r="AK33" s="4"/>
      <c r="AL33" s="4"/>
      <c r="AM33" s="4"/>
      <c r="AN33" s="4" t="str">
        <f t="shared" si="0"/>
        <v/>
      </c>
      <c r="AO33" s="4" t="str">
        <f t="shared" si="1"/>
        <v/>
      </c>
      <c r="AP33" s="4">
        <f t="shared" si="2"/>
        <v>100</v>
      </c>
      <c r="AQ33" s="4" t="str">
        <f t="shared" si="3"/>
        <v/>
      </c>
      <c r="AR33" s="4">
        <v>2</v>
      </c>
      <c r="AS33" s="5"/>
      <c r="AT33" s="4">
        <f t="shared" si="4"/>
        <v>100</v>
      </c>
      <c r="AU33" s="5">
        <v>100</v>
      </c>
      <c r="AV33" s="4">
        <f t="shared" si="5"/>
        <v>75</v>
      </c>
      <c r="AW33" s="4" t="str">
        <f t="shared" si="6"/>
        <v/>
      </c>
      <c r="AX33" s="5">
        <v>100</v>
      </c>
      <c r="AY33" s="4" t="s">
        <v>980</v>
      </c>
      <c r="AZ33" s="4" t="s">
        <v>123</v>
      </c>
      <c r="BA33" s="4" t="s">
        <v>251</v>
      </c>
    </row>
    <row r="34" spans="1:53" ht="69.900000000000006" customHeight="1" x14ac:dyDescent="0.3">
      <c r="A34" s="4" t="s">
        <v>252</v>
      </c>
      <c r="B34" s="4" t="s">
        <v>95</v>
      </c>
      <c r="C34" s="4" t="s">
        <v>253</v>
      </c>
      <c r="D34" s="4" t="s">
        <v>254</v>
      </c>
      <c r="E34" s="4" t="s">
        <v>255</v>
      </c>
      <c r="F34" s="4" t="s">
        <v>256</v>
      </c>
      <c r="G34" s="4" t="s">
        <v>109</v>
      </c>
      <c r="H34" s="4" t="s">
        <v>110</v>
      </c>
      <c r="I34" s="4" t="s">
        <v>100</v>
      </c>
      <c r="J34" s="4" t="s">
        <v>101</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v>45716</v>
      </c>
      <c r="AF34" s="6"/>
      <c r="AG34" s="6">
        <v>46188</v>
      </c>
      <c r="AH34" s="4"/>
      <c r="AI34" s="4"/>
      <c r="AJ34" s="6"/>
      <c r="AK34" s="4"/>
      <c r="AL34" s="4"/>
      <c r="AM34" s="4"/>
      <c r="AN34" s="4" t="str">
        <f t="shared" si="0"/>
        <v/>
      </c>
      <c r="AO34" s="4" t="str">
        <f t="shared" si="1"/>
        <v/>
      </c>
      <c r="AP34" s="4">
        <f t="shared" si="2"/>
        <v>100</v>
      </c>
      <c r="AQ34" s="4" t="str">
        <f t="shared" si="3"/>
        <v/>
      </c>
      <c r="AR34" s="4">
        <v>1</v>
      </c>
      <c r="AS34" s="5"/>
      <c r="AT34" s="4" t="str">
        <f t="shared" si="4"/>
        <v/>
      </c>
      <c r="AU34" s="5"/>
      <c r="AV34" s="4">
        <f t="shared" si="5"/>
        <v>90</v>
      </c>
      <c r="AW34" s="4" t="str">
        <f t="shared" si="6"/>
        <v/>
      </c>
      <c r="AX34" s="5"/>
      <c r="AY34" s="4" t="s">
        <v>198</v>
      </c>
      <c r="AZ34" s="4" t="s">
        <v>103</v>
      </c>
      <c r="BA34" s="4" t="s">
        <v>257</v>
      </c>
    </row>
    <row r="35" spans="1:53" ht="69.900000000000006" customHeight="1" x14ac:dyDescent="0.3">
      <c r="A35" s="4" t="s">
        <v>258</v>
      </c>
      <c r="B35" s="4" t="s">
        <v>86</v>
      </c>
      <c r="C35" s="4" t="s">
        <v>259</v>
      </c>
      <c r="D35" s="4" t="s">
        <v>260</v>
      </c>
      <c r="E35" s="4" t="s">
        <v>261</v>
      </c>
      <c r="F35" s="4" t="s">
        <v>262</v>
      </c>
      <c r="G35" s="4" t="s">
        <v>109</v>
      </c>
      <c r="H35" s="4" t="s">
        <v>110</v>
      </c>
      <c r="I35" s="4" t="s">
        <v>160</v>
      </c>
      <c r="J35" s="4" t="s">
        <v>101</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45232</v>
      </c>
      <c r="AB35" s="6">
        <v>45175</v>
      </c>
      <c r="AC35" s="6">
        <v>45232</v>
      </c>
      <c r="AD35" s="6">
        <v>45288</v>
      </c>
      <c r="AE35" s="6">
        <v>45288</v>
      </c>
      <c r="AF35" s="6"/>
      <c r="AG35" s="6">
        <v>46188</v>
      </c>
      <c r="AH35" s="4"/>
      <c r="AI35" s="4"/>
      <c r="AJ35" s="6"/>
      <c r="AK35" s="4"/>
      <c r="AL35" s="4"/>
      <c r="AM35" s="4"/>
      <c r="AN35" s="4" t="str">
        <f t="shared" ref="AN35:AN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O35" s="4" t="str">
        <f t="shared" ref="AO35:AO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P35" s="4">
        <f t="shared" ref="AP35:AP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t="str">
        <f t="shared" ref="AQ35:AQ60" si="10">IF(AND($U35&gt;$V35,$G35="CONTRATADO EN EJECUCIÓN"),100,IF(AND($V35&gt;$U35,($V35-$U35)&gt;50,$G35="CONTRATADO EN EJECUCIÓN"),0,IF(AND($V35&gt;$U35,($V35-$U35)&lt;=50,$V35&lt;=60),100,IF(AND($V35&gt;$U35,($V35-$U35)&lt;=50,$V35&gt;60),$AP35,""))))</f>
        <v/>
      </c>
      <c r="AR35" s="4">
        <v>0</v>
      </c>
      <c r="AS35" s="5"/>
      <c r="AT35" s="4" t="str">
        <f>IF(ISNUMBER($AJ35),IF(DAY($AJ35)=10,100,IF(DAY($AJ35)=11,80,IF(DAY($AJ35)=12,50,0))),"")</f>
        <v/>
      </c>
      <c r="AU35" s="5"/>
      <c r="AV35" s="4">
        <f t="shared" ref="AV35:AV60" si="11">IF($AR35=0,100,IF($AR35=1,90,IF($AR35=2,75,IF($AR35=3,60,IF($AR35=4,50,IF($AR35=5,25,IF($AR35&gt;=6,0,"")))))))</f>
        <v>100</v>
      </c>
      <c r="AW35" s="4" t="str">
        <f t="shared" ref="AW35:AW60" si="12">IFERROR(IF($G35="CONTRATADO EN EJECUCIÓN",IF(AND(ISNUMBER($AD35),ISNUMBER($AG35),$AD35&lt;$AG35),0,IF($AR35&gt;=1,(IFERROR(IF(ISTEXT($AH35),($AN35*0.4+$AO35*0.2+$AQ35*0.4),""),""))*$AV35/100,IFERROR(IF(ISTEXT($AH35),($AN35*0.4+$AO35*0.2+$AQ35*0.4),""),""))),IF($G35="CONTRATADO SIN ACTA DE INICIO",IF(AND($AG35-$AB35&gt;=0,$AG35-$AB35&lt;=30),100,0),"")),"Revisar")</f>
        <v/>
      </c>
      <c r="AX35" s="5"/>
      <c r="AY35" s="4" t="s">
        <v>198</v>
      </c>
      <c r="AZ35" s="4" t="s">
        <v>78</v>
      </c>
      <c r="BA35" s="4" t="s">
        <v>93</v>
      </c>
    </row>
    <row r="36" spans="1:53" ht="69.900000000000006" customHeight="1" x14ac:dyDescent="0.3">
      <c r="A36" s="4">
        <v>2023002700134</v>
      </c>
      <c r="B36" s="4" t="s">
        <v>95</v>
      </c>
      <c r="C36" s="4" t="s">
        <v>263</v>
      </c>
      <c r="D36" s="4" t="s">
        <v>264</v>
      </c>
      <c r="E36" s="4" t="s">
        <v>98</v>
      </c>
      <c r="F36" s="4" t="s">
        <v>265</v>
      </c>
      <c r="G36" s="4" t="s">
        <v>90</v>
      </c>
      <c r="H36" s="4" t="s">
        <v>91</v>
      </c>
      <c r="I36" s="4" t="s">
        <v>100</v>
      </c>
      <c r="J36" s="4" t="s">
        <v>101</v>
      </c>
      <c r="K36" s="5">
        <v>23521931236</v>
      </c>
      <c r="L36" s="5">
        <v>0</v>
      </c>
      <c r="M36" s="5">
        <v>30000000000</v>
      </c>
      <c r="N36" s="5">
        <v>0</v>
      </c>
      <c r="O36" s="5">
        <v>53521931236</v>
      </c>
      <c r="P36" s="5">
        <v>1833458390</v>
      </c>
      <c r="Q36" s="6">
        <v>46078</v>
      </c>
      <c r="R36" s="6">
        <v>45508</v>
      </c>
      <c r="S36" s="6">
        <v>45506</v>
      </c>
      <c r="T36" s="6">
        <v>45505</v>
      </c>
      <c r="U36" s="5">
        <v>13.14</v>
      </c>
      <c r="V36" s="5">
        <v>2.78</v>
      </c>
      <c r="W36" s="4">
        <v>1</v>
      </c>
      <c r="X36" s="4">
        <v>0.75</v>
      </c>
      <c r="Y36" s="6">
        <v>45505</v>
      </c>
      <c r="Z36" s="6"/>
      <c r="AA36" s="6">
        <v>45953</v>
      </c>
      <c r="AB36" s="6">
        <v>45953</v>
      </c>
      <c r="AC36" s="6">
        <v>45967</v>
      </c>
      <c r="AD36" s="6">
        <v>46727</v>
      </c>
      <c r="AE36" s="6"/>
      <c r="AF36" s="6"/>
      <c r="AG36" s="6">
        <v>46188</v>
      </c>
      <c r="AH36" s="4" t="s">
        <v>932</v>
      </c>
      <c r="AI36" s="4" t="s">
        <v>954</v>
      </c>
      <c r="AJ36" s="6">
        <v>46184</v>
      </c>
      <c r="AK36" s="4"/>
      <c r="AL36" s="4"/>
      <c r="AM36" s="4"/>
      <c r="AN36" s="4">
        <f t="shared" si="7"/>
        <v>80.434782608695656</v>
      </c>
      <c r="AO36" s="4">
        <f t="shared" si="8"/>
        <v>100</v>
      </c>
      <c r="AP36" s="4">
        <f t="shared" si="9"/>
        <v>100</v>
      </c>
      <c r="AQ36" s="4">
        <f t="shared" si="10"/>
        <v>100</v>
      </c>
      <c r="AR36" s="4">
        <v>0</v>
      </c>
      <c r="AS36" s="5"/>
      <c r="AT36" s="4">
        <f t="shared" ref="AT36:AT60" si="13">IF(ISNUMBER($AJ36),IF(DAY($AJ36)=10,100,IF(DAY($AJ36)=11,80,IF(DAY($AJ36)=12,50,0))),"")</f>
        <v>80</v>
      </c>
      <c r="AU36" s="5">
        <v>100</v>
      </c>
      <c r="AV36" s="4">
        <f t="shared" si="11"/>
        <v>100</v>
      </c>
      <c r="AW36" s="4">
        <f t="shared" si="12"/>
        <v>92.173913043478265</v>
      </c>
      <c r="AX36" s="5"/>
      <c r="AY36" s="4" t="s">
        <v>973</v>
      </c>
      <c r="AZ36" s="4" t="s">
        <v>123</v>
      </c>
      <c r="BA36" s="4" t="s">
        <v>266</v>
      </c>
    </row>
    <row r="37" spans="1:53" ht="69.900000000000006" customHeight="1" x14ac:dyDescent="0.3">
      <c r="A37" s="4" t="s">
        <v>267</v>
      </c>
      <c r="B37" s="4" t="s">
        <v>80</v>
      </c>
      <c r="C37" s="4" t="s">
        <v>268</v>
      </c>
      <c r="D37" s="4" t="s">
        <v>269</v>
      </c>
      <c r="E37" s="4" t="s">
        <v>139</v>
      </c>
      <c r="F37" s="4" t="s">
        <v>270</v>
      </c>
      <c r="G37" s="4" t="s">
        <v>62</v>
      </c>
      <c r="H37" s="4" t="s">
        <v>63</v>
      </c>
      <c r="I37" s="4" t="s">
        <v>75</v>
      </c>
      <c r="J37" s="4" t="s">
        <v>101</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v>45968</v>
      </c>
      <c r="AF37" s="6"/>
      <c r="AG37" s="6">
        <v>46188</v>
      </c>
      <c r="AH37" s="4" t="s">
        <v>908</v>
      </c>
      <c r="AI37" s="7" t="s">
        <v>920</v>
      </c>
      <c r="AJ37" s="6">
        <v>46183</v>
      </c>
      <c r="AK37" s="4"/>
      <c r="AL37" s="4"/>
      <c r="AM37" s="4"/>
      <c r="AN37" s="4" t="str">
        <f t="shared" si="7"/>
        <v/>
      </c>
      <c r="AO37" s="4" t="str">
        <f t="shared" si="8"/>
        <v/>
      </c>
      <c r="AP37" s="4">
        <f t="shared" si="9"/>
        <v>100</v>
      </c>
      <c r="AQ37" s="4">
        <f t="shared" si="10"/>
        <v>100</v>
      </c>
      <c r="AR37" s="4">
        <v>1</v>
      </c>
      <c r="AS37" s="5"/>
      <c r="AT37" s="4">
        <f>IF(ISNUMBER($AJ37),IF(DAY($AJ37)=10,100,IF(DAY($AJ37)=11,80,IF(DAY($AJ37)=12,50,0))),"")</f>
        <v>100</v>
      </c>
      <c r="AU37" s="5"/>
      <c r="AV37" s="4">
        <f t="shared" si="11"/>
        <v>90</v>
      </c>
      <c r="AW37" s="4" t="str">
        <f t="shared" si="12"/>
        <v/>
      </c>
      <c r="AX37" s="5"/>
      <c r="AY37" s="4" t="s">
        <v>900</v>
      </c>
      <c r="AZ37" s="4" t="s">
        <v>78</v>
      </c>
      <c r="BA37" s="4" t="s">
        <v>271</v>
      </c>
    </row>
    <row r="38" spans="1:53" ht="69.900000000000006" customHeight="1" x14ac:dyDescent="0.3">
      <c r="A38" s="4">
        <v>2023002700171</v>
      </c>
      <c r="B38" s="4" t="s">
        <v>95</v>
      </c>
      <c r="C38" s="4" t="s">
        <v>272</v>
      </c>
      <c r="D38" s="4" t="s">
        <v>273</v>
      </c>
      <c r="E38" s="4" t="s">
        <v>202</v>
      </c>
      <c r="F38" s="4" t="s">
        <v>274</v>
      </c>
      <c r="G38" s="4" t="s">
        <v>90</v>
      </c>
      <c r="H38" s="4" t="s">
        <v>91</v>
      </c>
      <c r="I38" s="4" t="s">
        <v>100</v>
      </c>
      <c r="J38" s="4" t="s">
        <v>275</v>
      </c>
      <c r="K38" s="5">
        <v>10877971203</v>
      </c>
      <c r="L38" s="5">
        <v>0</v>
      </c>
      <c r="M38" s="5">
        <v>0</v>
      </c>
      <c r="N38" s="5">
        <v>0</v>
      </c>
      <c r="O38" s="5">
        <v>10877971203</v>
      </c>
      <c r="P38" s="5">
        <v>7045786431.6599998</v>
      </c>
      <c r="Q38" s="6">
        <v>46072</v>
      </c>
      <c r="R38" s="6">
        <v>45301</v>
      </c>
      <c r="S38" s="6">
        <v>45291</v>
      </c>
      <c r="T38" s="6">
        <v>45290</v>
      </c>
      <c r="U38" s="5">
        <v>61.02</v>
      </c>
      <c r="V38" s="5">
        <v>64.77</v>
      </c>
      <c r="W38" s="4">
        <v>1</v>
      </c>
      <c r="X38" s="4">
        <v>0.62</v>
      </c>
      <c r="Y38" s="6">
        <v>45290</v>
      </c>
      <c r="Z38" s="6">
        <v>45411</v>
      </c>
      <c r="AA38" s="6">
        <v>45573</v>
      </c>
      <c r="AB38" s="6">
        <v>45573</v>
      </c>
      <c r="AC38" s="6">
        <v>45616</v>
      </c>
      <c r="AD38" s="6">
        <v>46177</v>
      </c>
      <c r="AE38" s="6"/>
      <c r="AF38" s="6"/>
      <c r="AG38" s="6">
        <v>46188</v>
      </c>
      <c r="AH38" s="4" t="s">
        <v>933</v>
      </c>
      <c r="AI38" s="4" t="s">
        <v>960</v>
      </c>
      <c r="AJ38" s="6">
        <v>46184</v>
      </c>
      <c r="AK38" s="4"/>
      <c r="AL38" s="4"/>
      <c r="AM38" s="4"/>
      <c r="AN38" s="4">
        <f t="shared" si="7"/>
        <v>52.173913043478258</v>
      </c>
      <c r="AO38" s="4">
        <f t="shared" si="8"/>
        <v>100</v>
      </c>
      <c r="AP38" s="4">
        <f t="shared" si="9"/>
        <v>100</v>
      </c>
      <c r="AQ38" s="4">
        <f t="shared" si="10"/>
        <v>100</v>
      </c>
      <c r="AR38" s="4">
        <v>1</v>
      </c>
      <c r="AS38" s="5"/>
      <c r="AT38" s="4">
        <f t="shared" si="13"/>
        <v>80</v>
      </c>
      <c r="AU38" s="5">
        <v>100</v>
      </c>
      <c r="AV38" s="4">
        <f t="shared" si="11"/>
        <v>90</v>
      </c>
      <c r="AW38" s="8">
        <v>72.782608695652186</v>
      </c>
      <c r="AX38" s="5"/>
      <c r="AY38" s="4" t="s">
        <v>973</v>
      </c>
      <c r="AZ38" s="4" t="s">
        <v>103</v>
      </c>
      <c r="BA38" s="4" t="s">
        <v>68</v>
      </c>
    </row>
    <row r="39" spans="1:53" ht="69.900000000000006" customHeight="1" x14ac:dyDescent="0.3">
      <c r="A39" s="4" t="s">
        <v>276</v>
      </c>
      <c r="B39" s="4" t="s">
        <v>86</v>
      </c>
      <c r="C39" s="4" t="s">
        <v>277</v>
      </c>
      <c r="D39" s="4" t="s">
        <v>278</v>
      </c>
      <c r="E39" s="4" t="s">
        <v>261</v>
      </c>
      <c r="F39" s="4" t="s">
        <v>279</v>
      </c>
      <c r="G39" s="4" t="s">
        <v>62</v>
      </c>
      <c r="H39" s="4" t="s">
        <v>91</v>
      </c>
      <c r="I39" s="4" t="s">
        <v>160</v>
      </c>
      <c r="J39" s="4" t="s">
        <v>280</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45569</v>
      </c>
      <c r="AA39" s="6">
        <v>45569</v>
      </c>
      <c r="AB39" s="6">
        <v>45338</v>
      </c>
      <c r="AC39" s="6">
        <v>45575</v>
      </c>
      <c r="AD39" s="6">
        <v>45656</v>
      </c>
      <c r="AE39" s="6">
        <v>45656</v>
      </c>
      <c r="AF39" s="6"/>
      <c r="AG39" s="6">
        <v>46188</v>
      </c>
      <c r="AH39" s="4" t="s">
        <v>281</v>
      </c>
      <c r="AI39" s="4" t="s">
        <v>1002</v>
      </c>
      <c r="AJ39" s="6">
        <v>46184</v>
      </c>
      <c r="AK39" s="4"/>
      <c r="AL39" s="4"/>
      <c r="AM39" s="4"/>
      <c r="AN39" s="4" t="str">
        <f t="shared" si="7"/>
        <v/>
      </c>
      <c r="AO39" s="4" t="str">
        <f t="shared" si="8"/>
        <v/>
      </c>
      <c r="AP39" s="4">
        <f t="shared" si="9"/>
        <v>100</v>
      </c>
      <c r="AQ39" s="4" t="str">
        <f t="shared" si="10"/>
        <v/>
      </c>
      <c r="AR39" s="4">
        <v>1</v>
      </c>
      <c r="AS39" s="5"/>
      <c r="AT39" s="4">
        <f>IF(ISNUMBER($AJ39),IF(DAY($AJ39)=10,100,IF(DAY($AJ39)=11,80,IF(DAY($AJ39)=12,50,0))),"")</f>
        <v>80</v>
      </c>
      <c r="AU39" s="5">
        <v>0</v>
      </c>
      <c r="AV39" s="4">
        <f t="shared" si="11"/>
        <v>90</v>
      </c>
      <c r="AW39" s="4" t="str">
        <f t="shared" si="12"/>
        <v/>
      </c>
      <c r="AX39" s="5">
        <v>0</v>
      </c>
      <c r="AY39" s="4" t="s">
        <v>282</v>
      </c>
      <c r="AZ39" s="4" t="s">
        <v>78</v>
      </c>
      <c r="BA39" s="4" t="s">
        <v>93</v>
      </c>
    </row>
    <row r="40" spans="1:53" ht="120" customHeight="1" x14ac:dyDescent="0.3">
      <c r="A40" s="4" t="s">
        <v>283</v>
      </c>
      <c r="B40" s="4" t="s">
        <v>95</v>
      </c>
      <c r="C40" s="4" t="s">
        <v>284</v>
      </c>
      <c r="D40" s="4" t="s">
        <v>285</v>
      </c>
      <c r="E40" s="4" t="s">
        <v>255</v>
      </c>
      <c r="F40" s="4" t="s">
        <v>286</v>
      </c>
      <c r="G40" s="4" t="s">
        <v>90</v>
      </c>
      <c r="H40" s="4" t="s">
        <v>91</v>
      </c>
      <c r="I40" s="4" t="s">
        <v>64</v>
      </c>
      <c r="J40" s="4" t="s">
        <v>101</v>
      </c>
      <c r="K40" s="5">
        <v>2401226400</v>
      </c>
      <c r="L40" s="5">
        <v>0</v>
      </c>
      <c r="M40" s="5">
        <v>0</v>
      </c>
      <c r="N40" s="5">
        <v>0</v>
      </c>
      <c r="O40" s="5">
        <v>2401226400</v>
      </c>
      <c r="P40" s="5">
        <v>1505440058</v>
      </c>
      <c r="Q40" s="6">
        <v>46136</v>
      </c>
      <c r="R40" s="6">
        <v>45759</v>
      </c>
      <c r="S40" s="6">
        <v>45757</v>
      </c>
      <c r="T40" s="6">
        <v>45770</v>
      </c>
      <c r="U40" s="5">
        <v>92.39</v>
      </c>
      <c r="V40" s="5">
        <v>62.69</v>
      </c>
      <c r="W40" s="4">
        <v>1</v>
      </c>
      <c r="X40" s="4">
        <v>1.03</v>
      </c>
      <c r="Y40" s="6">
        <v>45756</v>
      </c>
      <c r="Z40" s="6">
        <v>45917</v>
      </c>
      <c r="AA40" s="6">
        <v>45994</v>
      </c>
      <c r="AB40" s="6">
        <v>45994</v>
      </c>
      <c r="AC40" s="6">
        <v>46006</v>
      </c>
      <c r="AD40" s="6">
        <v>46198</v>
      </c>
      <c r="AE40" s="6"/>
      <c r="AF40" s="6"/>
      <c r="AG40" s="6">
        <v>46188</v>
      </c>
      <c r="AH40" s="4" t="s">
        <v>934</v>
      </c>
      <c r="AI40" s="7" t="s">
        <v>953</v>
      </c>
      <c r="AJ40" s="6">
        <v>46184</v>
      </c>
      <c r="AK40" s="4"/>
      <c r="AL40" s="4"/>
      <c r="AM40" s="4"/>
      <c r="AN40" s="4">
        <f t="shared" si="7"/>
        <v>100</v>
      </c>
      <c r="AO40" s="4">
        <f t="shared" si="8"/>
        <v>100</v>
      </c>
      <c r="AP40" s="4">
        <f t="shared" si="9"/>
        <v>100</v>
      </c>
      <c r="AQ40" s="4">
        <f t="shared" si="10"/>
        <v>100</v>
      </c>
      <c r="AR40" s="4">
        <v>0</v>
      </c>
      <c r="AS40" s="5"/>
      <c r="AT40" s="4">
        <f t="shared" si="13"/>
        <v>80</v>
      </c>
      <c r="AU40" s="5">
        <v>100</v>
      </c>
      <c r="AV40" s="4">
        <f t="shared" si="11"/>
        <v>100</v>
      </c>
      <c r="AW40" s="8">
        <f t="shared" si="12"/>
        <v>100</v>
      </c>
      <c r="AX40" s="5"/>
      <c r="AY40" s="4" t="s">
        <v>974</v>
      </c>
      <c r="AZ40" s="4" t="s">
        <v>103</v>
      </c>
      <c r="BA40" s="4" t="s">
        <v>287</v>
      </c>
    </row>
    <row r="41" spans="1:53" ht="108" customHeight="1" x14ac:dyDescent="0.3">
      <c r="A41" s="4" t="s">
        <v>288</v>
      </c>
      <c r="B41" s="4" t="s">
        <v>246</v>
      </c>
      <c r="C41" s="4" t="s">
        <v>289</v>
      </c>
      <c r="D41" s="4" t="s">
        <v>290</v>
      </c>
      <c r="E41" s="4" t="s">
        <v>249</v>
      </c>
      <c r="F41" s="4" t="s">
        <v>291</v>
      </c>
      <c r="G41" s="4" t="s">
        <v>90</v>
      </c>
      <c r="H41" s="4" t="s">
        <v>91</v>
      </c>
      <c r="I41" s="4" t="s">
        <v>75</v>
      </c>
      <c r="J41" s="4" t="s">
        <v>205</v>
      </c>
      <c r="K41" s="5">
        <v>1207242704</v>
      </c>
      <c r="L41" s="5">
        <v>0</v>
      </c>
      <c r="M41" s="5">
        <v>219361128</v>
      </c>
      <c r="N41" s="5">
        <v>0</v>
      </c>
      <c r="O41" s="5">
        <v>1426603832</v>
      </c>
      <c r="P41" s="5">
        <v>1174484084</v>
      </c>
      <c r="Q41" s="6">
        <v>46164</v>
      </c>
      <c r="R41" s="6">
        <v>45590</v>
      </c>
      <c r="S41" s="6">
        <v>45583</v>
      </c>
      <c r="T41" s="6">
        <v>45636</v>
      </c>
      <c r="U41" s="5">
        <v>99.87</v>
      </c>
      <c r="V41" s="5">
        <v>82.33</v>
      </c>
      <c r="W41" s="4">
        <v>1</v>
      </c>
      <c r="X41" s="4">
        <v>1</v>
      </c>
      <c r="Y41" s="6">
        <v>45582</v>
      </c>
      <c r="Z41" s="6">
        <v>45754</v>
      </c>
      <c r="AA41" s="6">
        <v>45762</v>
      </c>
      <c r="AB41" s="6">
        <v>45762</v>
      </c>
      <c r="AC41" s="6">
        <v>45793</v>
      </c>
      <c r="AD41" s="6">
        <v>46247</v>
      </c>
      <c r="AE41" s="6"/>
      <c r="AF41" s="6"/>
      <c r="AG41" s="6">
        <v>46188</v>
      </c>
      <c r="AH41" s="4" t="s">
        <v>988</v>
      </c>
      <c r="AI41" s="7" t="s">
        <v>996</v>
      </c>
      <c r="AJ41" s="6">
        <v>46183</v>
      </c>
      <c r="AK41" s="4"/>
      <c r="AL41" s="4"/>
      <c r="AM41" s="4"/>
      <c r="AN41" s="4">
        <f t="shared" si="7"/>
        <v>100</v>
      </c>
      <c r="AO41" s="4">
        <f t="shared" si="8"/>
        <v>100</v>
      </c>
      <c r="AP41" s="4">
        <f t="shared" si="9"/>
        <v>100</v>
      </c>
      <c r="AQ41" s="4">
        <f t="shared" si="10"/>
        <v>100</v>
      </c>
      <c r="AR41" s="4">
        <v>2</v>
      </c>
      <c r="AS41" s="5"/>
      <c r="AT41" s="4">
        <f t="shared" si="13"/>
        <v>100</v>
      </c>
      <c r="AU41" s="5">
        <v>100</v>
      </c>
      <c r="AV41" s="4">
        <f t="shared" si="11"/>
        <v>75</v>
      </c>
      <c r="AW41" s="4">
        <f>IFERROR(IF($G41="CONTRATADO EN EJECUCIÓN",IF(AND(ISNUMBER($AD41),ISNUMBER($AG41),$AD41&lt;$AG41),0,IF($AR41&gt;=1,(IFERROR(IF(ISTEXT($AH41),($AN41*0.4+$AO41*0.2+$AQ41*0.4),""),""))*$AV41/100,IFERROR(IF(ISTEXT($AH41),($AN41*0.4+$AO41*0.2+$AQ41*0.4),""),""))),IF($G41="CONTRATADO SIN ACTA DE INICIO",IF(AND($AG41-$AB41&gt;=0,$AG41-$AB41&lt;=30),100,0),"")),"Revisar")</f>
        <v>75</v>
      </c>
      <c r="AX41" s="5"/>
      <c r="AY41" s="4" t="s">
        <v>981</v>
      </c>
      <c r="AZ41" s="4" t="s">
        <v>123</v>
      </c>
      <c r="BA41" s="4" t="s">
        <v>292</v>
      </c>
    </row>
    <row r="42" spans="1:53" ht="111.6" customHeight="1" x14ac:dyDescent="0.3">
      <c r="A42" s="4">
        <v>2024002700151</v>
      </c>
      <c r="B42" s="4" t="s">
        <v>246</v>
      </c>
      <c r="C42" s="4" t="s">
        <v>293</v>
      </c>
      <c r="D42" s="4" t="s">
        <v>294</v>
      </c>
      <c r="E42" s="4" t="s">
        <v>249</v>
      </c>
      <c r="F42" s="4" t="s">
        <v>291</v>
      </c>
      <c r="G42" s="4" t="s">
        <v>90</v>
      </c>
      <c r="H42" s="4" t="s">
        <v>91</v>
      </c>
      <c r="I42" s="4" t="s">
        <v>75</v>
      </c>
      <c r="J42" s="4" t="s">
        <v>101</v>
      </c>
      <c r="K42" s="5">
        <v>7025611116</v>
      </c>
      <c r="L42" s="5">
        <v>0</v>
      </c>
      <c r="M42" s="5">
        <v>633276980</v>
      </c>
      <c r="N42" s="5">
        <v>0</v>
      </c>
      <c r="O42" s="5">
        <v>7658888096</v>
      </c>
      <c r="P42" s="5">
        <v>5025356915.3999996</v>
      </c>
      <c r="Q42" s="6">
        <v>46170</v>
      </c>
      <c r="R42" s="6">
        <v>45674</v>
      </c>
      <c r="S42" s="6">
        <v>45649</v>
      </c>
      <c r="T42" s="6">
        <v>45649</v>
      </c>
      <c r="U42" s="5">
        <v>76.31</v>
      </c>
      <c r="V42" s="5">
        <v>65.61</v>
      </c>
      <c r="W42" s="4">
        <v>1</v>
      </c>
      <c r="X42" s="4">
        <v>1</v>
      </c>
      <c r="Y42" s="6">
        <v>45649</v>
      </c>
      <c r="Z42" s="6"/>
      <c r="AA42" s="6">
        <v>45813</v>
      </c>
      <c r="AB42" s="6">
        <v>45813</v>
      </c>
      <c r="AC42" s="6">
        <v>45869</v>
      </c>
      <c r="AD42" s="6">
        <v>46295</v>
      </c>
      <c r="AE42" s="6"/>
      <c r="AF42" s="6"/>
      <c r="AG42" s="6">
        <v>46188</v>
      </c>
      <c r="AH42" s="4" t="s">
        <v>989</v>
      </c>
      <c r="AI42" s="7" t="s">
        <v>999</v>
      </c>
      <c r="AJ42" s="6">
        <v>46183</v>
      </c>
      <c r="AK42" s="4"/>
      <c r="AL42" s="4"/>
      <c r="AM42" s="4"/>
      <c r="AN42" s="4">
        <f t="shared" si="7"/>
        <v>100</v>
      </c>
      <c r="AO42" s="4">
        <f t="shared" si="8"/>
        <v>100</v>
      </c>
      <c r="AP42" s="4">
        <f t="shared" si="9"/>
        <v>100</v>
      </c>
      <c r="AQ42" s="4">
        <f t="shared" si="10"/>
        <v>100</v>
      </c>
      <c r="AR42" s="4">
        <v>0</v>
      </c>
      <c r="AS42" s="5"/>
      <c r="AT42" s="4">
        <f t="shared" si="13"/>
        <v>100</v>
      </c>
      <c r="AU42" s="5">
        <v>100</v>
      </c>
      <c r="AV42" s="4">
        <f t="shared" si="11"/>
        <v>100</v>
      </c>
      <c r="AW42" s="4">
        <f>IFERROR(IF($G42="CONTRATADO EN EJECUCIÓN",IF(AND(ISNUMBER($AD42),ISNUMBER($AG42),$AD42&lt;$AG42),0,IF($AR42&gt;=1,(IFERROR(IF(ISTEXT($AH42),($AN42*0.4+$AO42*0.2+$AQ42*0.4),""),""))*$AV42/100,IFERROR(IF(ISTEXT($AH42),($AN42*0.4+$AO42*0.2+$AQ42*0.4),""),""))),IF($G42="CONTRATADO SIN ACTA DE INICIO",IF(AND($AG42-$AB42&gt;=0,$AG42-$AB42&lt;=30),100,0),"")),"Revisar")</f>
        <v>100</v>
      </c>
      <c r="AX42" s="5"/>
      <c r="AY42" s="4" t="s">
        <v>982</v>
      </c>
      <c r="AZ42" s="4" t="s">
        <v>67</v>
      </c>
      <c r="BA42" s="4" t="s">
        <v>295</v>
      </c>
    </row>
    <row r="43" spans="1:53" ht="207.75" customHeight="1" x14ac:dyDescent="0.3">
      <c r="A43" s="4" t="s">
        <v>296</v>
      </c>
      <c r="B43" s="4" t="s">
        <v>80</v>
      </c>
      <c r="C43" s="4" t="s">
        <v>297</v>
      </c>
      <c r="D43" s="4" t="s">
        <v>298</v>
      </c>
      <c r="E43" s="4" t="s">
        <v>139</v>
      </c>
      <c r="F43" s="4" t="s">
        <v>299</v>
      </c>
      <c r="G43" s="4" t="s">
        <v>300</v>
      </c>
      <c r="H43" s="4"/>
      <c r="I43" s="4"/>
      <c r="J43" s="4" t="s">
        <v>101</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46086</v>
      </c>
      <c r="AA43" s="6"/>
      <c r="AB43" s="6"/>
      <c r="AC43" s="6"/>
      <c r="AD43" s="6"/>
      <c r="AE43" s="6"/>
      <c r="AF43" s="6"/>
      <c r="AG43" s="6">
        <v>46188</v>
      </c>
      <c r="AH43" s="4" t="s">
        <v>901</v>
      </c>
      <c r="AI43" s="7" t="s">
        <v>921</v>
      </c>
      <c r="AJ43" s="6">
        <v>46183</v>
      </c>
      <c r="AK43" s="4">
        <v>542</v>
      </c>
      <c r="AL43" s="4"/>
      <c r="AM43" s="4"/>
      <c r="AN43" s="4" t="str">
        <f t="shared" si="7"/>
        <v/>
      </c>
      <c r="AO43" s="4" t="str">
        <f t="shared" si="8"/>
        <v/>
      </c>
      <c r="AP43" s="4">
        <f t="shared" si="9"/>
        <v>100</v>
      </c>
      <c r="AQ43" s="4" t="str">
        <f t="shared" si="10"/>
        <v/>
      </c>
      <c r="AR43" s="4">
        <v>0</v>
      </c>
      <c r="AS43" s="5">
        <v>0</v>
      </c>
      <c r="AT43" s="4">
        <f>IF(ISNUMBER($AJ43),IF(DAY($AJ43)=10,100,IF(DAY($AJ43)=11,80,IF(DAY($AJ43)=12,50,0))),"")</f>
        <v>100</v>
      </c>
      <c r="AU43" s="5">
        <v>100</v>
      </c>
      <c r="AV43" s="4">
        <f t="shared" si="11"/>
        <v>100</v>
      </c>
      <c r="AW43" s="4" t="str">
        <f t="shared" si="12"/>
        <v/>
      </c>
      <c r="AX43" s="5"/>
      <c r="AY43" s="7" t="s">
        <v>922</v>
      </c>
      <c r="AZ43" s="4" t="s">
        <v>67</v>
      </c>
      <c r="BA43" s="4" t="s">
        <v>93</v>
      </c>
    </row>
    <row r="44" spans="1:53" ht="162.6" customHeight="1" x14ac:dyDescent="0.3">
      <c r="A44" s="4">
        <v>2024002700176</v>
      </c>
      <c r="B44" s="4" t="s">
        <v>246</v>
      </c>
      <c r="C44" s="4" t="s">
        <v>301</v>
      </c>
      <c r="D44" s="4" t="s">
        <v>302</v>
      </c>
      <c r="E44" s="4" t="s">
        <v>249</v>
      </c>
      <c r="F44" s="4" t="s">
        <v>303</v>
      </c>
      <c r="G44" s="4" t="s">
        <v>90</v>
      </c>
      <c r="H44" s="4" t="s">
        <v>91</v>
      </c>
      <c r="I44" s="4" t="s">
        <v>100</v>
      </c>
      <c r="J44" s="4" t="s">
        <v>205</v>
      </c>
      <c r="K44" s="5">
        <v>689677427</v>
      </c>
      <c r="L44" s="5">
        <v>0</v>
      </c>
      <c r="M44" s="5">
        <v>0</v>
      </c>
      <c r="N44" s="5">
        <v>0</v>
      </c>
      <c r="O44" s="5">
        <v>689677427</v>
      </c>
      <c r="P44" s="5">
        <v>492278062.80000001</v>
      </c>
      <c r="Q44" s="6">
        <v>46148</v>
      </c>
      <c r="R44" s="6">
        <v>45634</v>
      </c>
      <c r="S44" s="6">
        <v>45633</v>
      </c>
      <c r="T44" s="6">
        <v>45637</v>
      </c>
      <c r="U44" s="5">
        <v>69.67</v>
      </c>
      <c r="V44" s="5">
        <v>71.38</v>
      </c>
      <c r="W44" s="4">
        <v>1</v>
      </c>
      <c r="X44" s="4">
        <v>1</v>
      </c>
      <c r="Y44" s="6">
        <v>45632</v>
      </c>
      <c r="Z44" s="6">
        <v>45803</v>
      </c>
      <c r="AA44" s="6">
        <v>45903</v>
      </c>
      <c r="AB44" s="6">
        <v>45903</v>
      </c>
      <c r="AC44" s="6">
        <v>45911</v>
      </c>
      <c r="AD44" s="6">
        <v>46204</v>
      </c>
      <c r="AE44" s="6"/>
      <c r="AF44" s="6"/>
      <c r="AG44" s="6">
        <v>46188</v>
      </c>
      <c r="AH44" s="4" t="s">
        <v>304</v>
      </c>
      <c r="AI44" s="7" t="s">
        <v>994</v>
      </c>
      <c r="AJ44" s="6">
        <v>46183</v>
      </c>
      <c r="AK44" s="4"/>
      <c r="AL44" s="4"/>
      <c r="AM44" s="4"/>
      <c r="AN44" s="4">
        <f t="shared" si="7"/>
        <v>100</v>
      </c>
      <c r="AO44" s="4">
        <f t="shared" si="8"/>
        <v>100</v>
      </c>
      <c r="AP44" s="4">
        <f t="shared" si="9"/>
        <v>100</v>
      </c>
      <c r="AQ44" s="4">
        <f t="shared" si="10"/>
        <v>100</v>
      </c>
      <c r="AR44" s="4">
        <v>1</v>
      </c>
      <c r="AS44" s="5"/>
      <c r="AT44" s="4">
        <f t="shared" si="13"/>
        <v>100</v>
      </c>
      <c r="AU44" s="5">
        <v>100</v>
      </c>
      <c r="AV44" s="4">
        <f t="shared" si="11"/>
        <v>90</v>
      </c>
      <c r="AW44" s="4">
        <f t="shared" si="12"/>
        <v>90</v>
      </c>
      <c r="AX44" s="5"/>
      <c r="AY44" s="4" t="s">
        <v>983</v>
      </c>
      <c r="AZ44" s="4" t="s">
        <v>103</v>
      </c>
      <c r="BA44" s="4" t="s">
        <v>305</v>
      </c>
    </row>
    <row r="45" spans="1:53" ht="69.900000000000006" customHeight="1" x14ac:dyDescent="0.3">
      <c r="A45" s="4">
        <v>2024002700177</v>
      </c>
      <c r="B45" s="4" t="s">
        <v>95</v>
      </c>
      <c r="C45" s="4" t="s">
        <v>306</v>
      </c>
      <c r="D45" s="4" t="s">
        <v>307</v>
      </c>
      <c r="E45" s="4" t="s">
        <v>308</v>
      </c>
      <c r="F45" s="4" t="s">
        <v>309</v>
      </c>
      <c r="G45" s="4" t="s">
        <v>90</v>
      </c>
      <c r="H45" s="4" t="s">
        <v>91</v>
      </c>
      <c r="I45" s="4" t="s">
        <v>310</v>
      </c>
      <c r="J45" s="4" t="s">
        <v>311</v>
      </c>
      <c r="K45" s="5">
        <v>1135083847</v>
      </c>
      <c r="L45" s="5">
        <v>10000000000</v>
      </c>
      <c r="M45" s="5">
        <v>0</v>
      </c>
      <c r="N45" s="5">
        <v>0</v>
      </c>
      <c r="O45" s="5">
        <v>11135083847</v>
      </c>
      <c r="P45" s="5">
        <v>216510310</v>
      </c>
      <c r="Q45" s="6">
        <v>45924</v>
      </c>
      <c r="R45" s="6">
        <v>45639</v>
      </c>
      <c r="S45" s="6">
        <v>45638</v>
      </c>
      <c r="T45" s="6">
        <v>45649</v>
      </c>
      <c r="U45" s="5">
        <v>1.82</v>
      </c>
      <c r="V45" s="5">
        <v>1.94</v>
      </c>
      <c r="W45" s="4">
        <v>1</v>
      </c>
      <c r="X45" s="4">
        <v>0.19</v>
      </c>
      <c r="Y45" s="6">
        <v>45637</v>
      </c>
      <c r="Z45" s="6"/>
      <c r="AA45" s="6">
        <v>45806</v>
      </c>
      <c r="AB45" s="6">
        <v>45805</v>
      </c>
      <c r="AC45" s="6">
        <v>45818</v>
      </c>
      <c r="AD45" s="6">
        <v>46354</v>
      </c>
      <c r="AE45" s="6"/>
      <c r="AF45" s="6"/>
      <c r="AG45" s="6">
        <v>46188</v>
      </c>
      <c r="AH45" s="4" t="s">
        <v>935</v>
      </c>
      <c r="AI45" s="4" t="s">
        <v>956</v>
      </c>
      <c r="AJ45" s="6">
        <v>46184</v>
      </c>
      <c r="AK45" s="4"/>
      <c r="AL45" s="4"/>
      <c r="AM45" s="4"/>
      <c r="AN45" s="4">
        <f t="shared" si="7"/>
        <v>0</v>
      </c>
      <c r="AO45" s="4">
        <f t="shared" si="8"/>
        <v>100</v>
      </c>
      <c r="AP45" s="4">
        <f t="shared" si="9"/>
        <v>100</v>
      </c>
      <c r="AQ45" s="4">
        <f t="shared" si="10"/>
        <v>100</v>
      </c>
      <c r="AR45" s="4">
        <v>0</v>
      </c>
      <c r="AS45" s="5"/>
      <c r="AT45" s="4">
        <f t="shared" si="13"/>
        <v>80</v>
      </c>
      <c r="AU45" s="5">
        <v>100</v>
      </c>
      <c r="AV45" s="4">
        <f t="shared" si="11"/>
        <v>100</v>
      </c>
      <c r="AW45" s="4">
        <f t="shared" si="12"/>
        <v>60</v>
      </c>
      <c r="AX45" s="5"/>
      <c r="AY45" s="4" t="s">
        <v>975</v>
      </c>
      <c r="AZ45" s="4" t="s">
        <v>123</v>
      </c>
      <c r="BA45" s="4" t="s">
        <v>312</v>
      </c>
    </row>
    <row r="46" spans="1:53" ht="194.25" customHeight="1" x14ac:dyDescent="0.3">
      <c r="A46" s="4" t="s">
        <v>313</v>
      </c>
      <c r="B46" s="4" t="s">
        <v>95</v>
      </c>
      <c r="C46" s="4" t="s">
        <v>314</v>
      </c>
      <c r="D46" s="4" t="s">
        <v>315</v>
      </c>
      <c r="E46" s="4" t="s">
        <v>202</v>
      </c>
      <c r="F46" s="4" t="s">
        <v>316</v>
      </c>
      <c r="G46" s="4" t="s">
        <v>317</v>
      </c>
      <c r="H46" s="4" t="s">
        <v>318</v>
      </c>
      <c r="I46" s="4" t="s">
        <v>160</v>
      </c>
      <c r="J46" s="4" t="s">
        <v>319</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c r="AE46" s="6"/>
      <c r="AF46" s="6"/>
      <c r="AG46" s="6">
        <v>46188</v>
      </c>
      <c r="AH46" s="4" t="s">
        <v>320</v>
      </c>
      <c r="AI46" s="4" t="s">
        <v>949</v>
      </c>
      <c r="AJ46" s="6">
        <v>46184</v>
      </c>
      <c r="AK46" s="4"/>
      <c r="AL46" s="4"/>
      <c r="AM46" s="4">
        <v>330</v>
      </c>
      <c r="AN46" s="4" t="str">
        <f t="shared" si="7"/>
        <v/>
      </c>
      <c r="AO46" s="4" t="str">
        <f t="shared" si="8"/>
        <v/>
      </c>
      <c r="AP46" s="4">
        <f t="shared" si="9"/>
        <v>100</v>
      </c>
      <c r="AQ46" s="4" t="str">
        <f t="shared" si="10"/>
        <v/>
      </c>
      <c r="AR46" s="4">
        <v>0</v>
      </c>
      <c r="AS46" s="5"/>
      <c r="AT46" s="4">
        <f t="shared" si="13"/>
        <v>80</v>
      </c>
      <c r="AU46" s="5">
        <v>0</v>
      </c>
      <c r="AV46" s="4">
        <f t="shared" si="11"/>
        <v>100</v>
      </c>
      <c r="AW46" s="4">
        <f t="shared" si="12"/>
        <v>0</v>
      </c>
      <c r="AX46" s="5"/>
      <c r="AY46" s="4" t="s">
        <v>321</v>
      </c>
      <c r="AZ46" s="4" t="s">
        <v>123</v>
      </c>
      <c r="BA46" s="4" t="s">
        <v>68</v>
      </c>
    </row>
    <row r="47" spans="1:53" ht="69.900000000000006" customHeight="1" x14ac:dyDescent="0.3">
      <c r="A47" s="4" t="s">
        <v>322</v>
      </c>
      <c r="B47" s="4" t="s">
        <v>80</v>
      </c>
      <c r="C47" s="4" t="s">
        <v>323</v>
      </c>
      <c r="D47" s="4" t="s">
        <v>324</v>
      </c>
      <c r="E47" s="4" t="s">
        <v>139</v>
      </c>
      <c r="F47" s="4" t="s">
        <v>325</v>
      </c>
      <c r="G47" s="4" t="s">
        <v>62</v>
      </c>
      <c r="H47" s="4" t="s">
        <v>91</v>
      </c>
      <c r="I47" s="4" t="s">
        <v>310</v>
      </c>
      <c r="J47" s="4" t="s">
        <v>101</v>
      </c>
      <c r="K47" s="5">
        <v>2653691597.3099999</v>
      </c>
      <c r="L47" s="5">
        <v>0</v>
      </c>
      <c r="M47" s="5">
        <v>929670814</v>
      </c>
      <c r="N47" s="5">
        <v>0</v>
      </c>
      <c r="O47" s="5">
        <v>3583362411.3099999</v>
      </c>
      <c r="P47" s="5">
        <v>2252913673.25</v>
      </c>
      <c r="Q47" s="6">
        <v>46164</v>
      </c>
      <c r="R47" s="6">
        <v>45658</v>
      </c>
      <c r="S47" s="6">
        <v>45652</v>
      </c>
      <c r="T47" s="6">
        <v>45653</v>
      </c>
      <c r="U47" s="5">
        <v>99.24</v>
      </c>
      <c r="V47" s="5">
        <v>88.82</v>
      </c>
      <c r="W47" s="4"/>
      <c r="X47" s="4"/>
      <c r="Y47" s="6">
        <v>45650</v>
      </c>
      <c r="Z47" s="6">
        <v>45798</v>
      </c>
      <c r="AA47" s="6">
        <v>45805</v>
      </c>
      <c r="AB47" s="6">
        <v>45805</v>
      </c>
      <c r="AC47" s="6">
        <v>45960</v>
      </c>
      <c r="AD47" s="6">
        <v>46139</v>
      </c>
      <c r="AE47" s="6">
        <v>46169</v>
      </c>
      <c r="AF47" s="6"/>
      <c r="AG47" s="6">
        <v>46188</v>
      </c>
      <c r="AH47" s="4" t="s">
        <v>902</v>
      </c>
      <c r="AI47" s="4" t="s">
        <v>923</v>
      </c>
      <c r="AJ47" s="6">
        <v>46183</v>
      </c>
      <c r="AK47" s="4"/>
      <c r="AL47" s="4"/>
      <c r="AM47" s="4"/>
      <c r="AN47" s="4" t="str">
        <f t="shared" si="7"/>
        <v/>
      </c>
      <c r="AO47" s="4" t="str">
        <f t="shared" si="8"/>
        <v/>
      </c>
      <c r="AP47" s="4">
        <f t="shared" si="9"/>
        <v>100</v>
      </c>
      <c r="AQ47" s="4" t="str">
        <f t="shared" si="10"/>
        <v/>
      </c>
      <c r="AR47" s="4">
        <v>1</v>
      </c>
      <c r="AS47" s="5"/>
      <c r="AT47" s="4">
        <f>IF(ISNUMBER($AJ47),IF(DAY($AJ47)=10,100,IF(DAY($AJ47)=11,80,IF(DAY($AJ47)=12,50,0))),"")</f>
        <v>100</v>
      </c>
      <c r="AU47" s="5">
        <v>70</v>
      </c>
      <c r="AV47" s="4">
        <f t="shared" si="11"/>
        <v>90</v>
      </c>
      <c r="AW47" s="4" t="str">
        <f t="shared" si="12"/>
        <v/>
      </c>
      <c r="AX47" s="5">
        <v>100</v>
      </c>
      <c r="AY47" s="4" t="s">
        <v>924</v>
      </c>
      <c r="AZ47" s="4" t="s">
        <v>123</v>
      </c>
      <c r="BA47" s="4" t="s">
        <v>93</v>
      </c>
    </row>
    <row r="48" spans="1:53" ht="196.2" customHeight="1" x14ac:dyDescent="0.3">
      <c r="A48" s="4" t="s">
        <v>326</v>
      </c>
      <c r="B48" s="4" t="s">
        <v>246</v>
      </c>
      <c r="C48" s="4" t="s">
        <v>327</v>
      </c>
      <c r="D48" s="4" t="s">
        <v>328</v>
      </c>
      <c r="E48" s="4" t="s">
        <v>249</v>
      </c>
      <c r="F48" s="4" t="s">
        <v>329</v>
      </c>
      <c r="G48" s="4" t="s">
        <v>300</v>
      </c>
      <c r="H48" s="4"/>
      <c r="I48" s="4"/>
      <c r="J48" s="4" t="s">
        <v>330</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v>46188</v>
      </c>
      <c r="AH48" s="4" t="s">
        <v>990</v>
      </c>
      <c r="AI48" s="7" t="s">
        <v>995</v>
      </c>
      <c r="AJ48" s="6">
        <v>46183</v>
      </c>
      <c r="AK48" s="4">
        <v>36</v>
      </c>
      <c r="AL48" s="4"/>
      <c r="AM48" s="4"/>
      <c r="AN48" s="4" t="str">
        <f t="shared" si="7"/>
        <v/>
      </c>
      <c r="AO48" s="4" t="str">
        <f t="shared" si="8"/>
        <v/>
      </c>
      <c r="AP48" s="4">
        <f t="shared" si="9"/>
        <v>100</v>
      </c>
      <c r="AQ48" s="4" t="str">
        <f t="shared" si="10"/>
        <v/>
      </c>
      <c r="AR48" s="4"/>
      <c r="AS48" s="11">
        <v>100</v>
      </c>
      <c r="AT48" s="4">
        <f t="shared" si="13"/>
        <v>100</v>
      </c>
      <c r="AU48" s="5">
        <v>100</v>
      </c>
      <c r="AV48" s="4">
        <f t="shared" si="11"/>
        <v>100</v>
      </c>
      <c r="AW48" s="4" t="str">
        <f t="shared" si="12"/>
        <v/>
      </c>
      <c r="AX48" s="5"/>
      <c r="AY48" s="4" t="s">
        <v>984</v>
      </c>
      <c r="AZ48" s="4" t="s">
        <v>67</v>
      </c>
      <c r="BA48" s="4" t="s">
        <v>240</v>
      </c>
    </row>
    <row r="49" spans="1:53" ht="99" customHeight="1" x14ac:dyDescent="0.3">
      <c r="A49" s="4">
        <v>2025000020006</v>
      </c>
      <c r="B49" s="4" t="s">
        <v>95</v>
      </c>
      <c r="C49" s="4" t="s">
        <v>331</v>
      </c>
      <c r="D49" s="4" t="s">
        <v>332</v>
      </c>
      <c r="E49" s="4" t="s">
        <v>98</v>
      </c>
      <c r="F49" s="4" t="s">
        <v>333</v>
      </c>
      <c r="G49" s="4" t="s">
        <v>300</v>
      </c>
      <c r="H49" s="4"/>
      <c r="I49" s="4"/>
      <c r="J49" s="4" t="s">
        <v>167</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v>46188</v>
      </c>
      <c r="AH49" s="4" t="s">
        <v>936</v>
      </c>
      <c r="AI49" s="4" t="s">
        <v>948</v>
      </c>
      <c r="AJ49" s="6">
        <v>46184</v>
      </c>
      <c r="AK49" s="4">
        <v>64</v>
      </c>
      <c r="AL49" s="4"/>
      <c r="AM49" s="4"/>
      <c r="AN49" s="4" t="str">
        <f t="shared" si="7"/>
        <v/>
      </c>
      <c r="AO49" s="4" t="str">
        <f t="shared" si="8"/>
        <v/>
      </c>
      <c r="AP49" s="4">
        <f t="shared" si="9"/>
        <v>100</v>
      </c>
      <c r="AQ49" s="4" t="str">
        <f t="shared" si="10"/>
        <v/>
      </c>
      <c r="AR49" s="4"/>
      <c r="AS49" s="5">
        <v>100</v>
      </c>
      <c r="AT49" s="4">
        <f t="shared" si="13"/>
        <v>80</v>
      </c>
      <c r="AU49" s="5">
        <v>100</v>
      </c>
      <c r="AV49" s="4">
        <f t="shared" si="11"/>
        <v>100</v>
      </c>
      <c r="AW49" s="4" t="str">
        <f t="shared" si="12"/>
        <v/>
      </c>
      <c r="AX49" s="5"/>
      <c r="AY49" s="4" t="s">
        <v>334</v>
      </c>
      <c r="AZ49" s="4" t="s">
        <v>78</v>
      </c>
      <c r="BA49" s="4" t="s">
        <v>335</v>
      </c>
    </row>
    <row r="50" spans="1:53" ht="69.900000000000006" customHeight="1" x14ac:dyDescent="0.3">
      <c r="A50" s="4" t="s">
        <v>336</v>
      </c>
      <c r="B50" s="4" t="s">
        <v>86</v>
      </c>
      <c r="C50" s="4" t="s">
        <v>337</v>
      </c>
      <c r="D50" s="4" t="s">
        <v>338</v>
      </c>
      <c r="E50" s="4" t="s">
        <v>261</v>
      </c>
      <c r="F50" s="4" t="s">
        <v>339</v>
      </c>
      <c r="G50" s="4" t="s">
        <v>62</v>
      </c>
      <c r="H50" s="4" t="s">
        <v>63</v>
      </c>
      <c r="I50" s="4" t="s">
        <v>160</v>
      </c>
      <c r="J50" s="4" t="s">
        <v>340</v>
      </c>
      <c r="K50" s="5">
        <v>15884181916</v>
      </c>
      <c r="L50" s="5">
        <v>0</v>
      </c>
      <c r="M50" s="5">
        <v>0</v>
      </c>
      <c r="N50" s="5">
        <v>0</v>
      </c>
      <c r="O50" s="5">
        <v>15884181916</v>
      </c>
      <c r="P50" s="5">
        <v>6484823040.0600004</v>
      </c>
      <c r="Q50" s="6">
        <v>46017</v>
      </c>
      <c r="R50" s="6">
        <v>45893</v>
      </c>
      <c r="S50" s="6">
        <v>45889</v>
      </c>
      <c r="T50" s="6">
        <v>45903</v>
      </c>
      <c r="U50" s="5">
        <v>40.81</v>
      </c>
      <c r="V50" s="5">
        <v>40.83</v>
      </c>
      <c r="W50" s="4"/>
      <c r="X50" s="4"/>
      <c r="Y50" s="6">
        <v>45888</v>
      </c>
      <c r="Z50" s="6">
        <v>45905</v>
      </c>
      <c r="AA50" s="6">
        <v>45929</v>
      </c>
      <c r="AB50" s="6">
        <v>45922</v>
      </c>
      <c r="AC50" s="6">
        <v>45930</v>
      </c>
      <c r="AD50" s="6">
        <v>46021</v>
      </c>
      <c r="AE50" s="6">
        <v>46021</v>
      </c>
      <c r="AF50" s="6"/>
      <c r="AG50" s="6">
        <v>46188</v>
      </c>
      <c r="AH50" s="4" t="s">
        <v>341</v>
      </c>
      <c r="AI50" s="4" t="s">
        <v>1003</v>
      </c>
      <c r="AJ50" s="6">
        <v>46184</v>
      </c>
      <c r="AK50" s="4"/>
      <c r="AL50" s="4"/>
      <c r="AM50" s="4"/>
      <c r="AN50" s="4" t="str">
        <f t="shared" si="7"/>
        <v/>
      </c>
      <c r="AO50" s="4" t="str">
        <f t="shared" si="8"/>
        <v/>
      </c>
      <c r="AP50" s="4">
        <f t="shared" si="9"/>
        <v>100</v>
      </c>
      <c r="AQ50" s="4">
        <f t="shared" si="10"/>
        <v>100</v>
      </c>
      <c r="AR50" s="4">
        <v>0</v>
      </c>
      <c r="AS50" s="5"/>
      <c r="AT50" s="4">
        <f>IF(ISNUMBER($AJ50),IF(DAY($AJ50)=10,100,IF(DAY($AJ50)=11,80,IF(DAY($AJ50)=12,50,0))),"")</f>
        <v>80</v>
      </c>
      <c r="AU50" s="5">
        <v>0</v>
      </c>
      <c r="AV50" s="4">
        <f t="shared" si="11"/>
        <v>100</v>
      </c>
      <c r="AW50" s="4" t="str">
        <f t="shared" si="12"/>
        <v/>
      </c>
      <c r="AX50" s="5">
        <v>0</v>
      </c>
      <c r="AY50" s="4" t="s">
        <v>1005</v>
      </c>
      <c r="AZ50" s="4" t="s">
        <v>78</v>
      </c>
      <c r="BA50" s="4" t="s">
        <v>93</v>
      </c>
    </row>
    <row r="51" spans="1:53" ht="93" customHeight="1" x14ac:dyDescent="0.3">
      <c r="A51" s="4">
        <v>2025000020037</v>
      </c>
      <c r="B51" s="4" t="s">
        <v>95</v>
      </c>
      <c r="C51" s="4" t="s">
        <v>342</v>
      </c>
      <c r="D51" s="4" t="s">
        <v>343</v>
      </c>
      <c r="E51" s="4" t="s">
        <v>98</v>
      </c>
      <c r="F51" s="4" t="s">
        <v>344</v>
      </c>
      <c r="G51" s="4" t="s">
        <v>90</v>
      </c>
      <c r="H51" s="4" t="s">
        <v>91</v>
      </c>
      <c r="I51" s="4" t="s">
        <v>310</v>
      </c>
      <c r="J51" s="4" t="s">
        <v>167</v>
      </c>
      <c r="K51" s="5">
        <v>79715601771.679993</v>
      </c>
      <c r="L51" s="5">
        <v>0</v>
      </c>
      <c r="M51" s="5">
        <v>0</v>
      </c>
      <c r="N51" s="5">
        <v>0</v>
      </c>
      <c r="O51" s="5">
        <v>79715601771.679993</v>
      </c>
      <c r="P51" s="5">
        <v>27947699210.400002</v>
      </c>
      <c r="Q51" s="6">
        <v>46149</v>
      </c>
      <c r="R51" s="6">
        <v>45939</v>
      </c>
      <c r="S51" s="6">
        <v>45934</v>
      </c>
      <c r="T51" s="6">
        <v>45961</v>
      </c>
      <c r="U51" s="5">
        <v>13.5</v>
      </c>
      <c r="V51" s="5">
        <v>35.06</v>
      </c>
      <c r="W51" s="4">
        <v>1</v>
      </c>
      <c r="X51" s="4">
        <v>1.66</v>
      </c>
      <c r="Y51" s="6">
        <v>45933</v>
      </c>
      <c r="Z51" s="6"/>
      <c r="AA51" s="6">
        <v>46058</v>
      </c>
      <c r="AB51" s="6">
        <v>46009</v>
      </c>
      <c r="AC51" s="6">
        <v>46064</v>
      </c>
      <c r="AD51" s="6">
        <v>46798</v>
      </c>
      <c r="AE51" s="6"/>
      <c r="AF51" s="6"/>
      <c r="AG51" s="6">
        <v>46188</v>
      </c>
      <c r="AH51" s="4" t="s">
        <v>937</v>
      </c>
      <c r="AI51" s="4" t="s">
        <v>951</v>
      </c>
      <c r="AJ51" s="6">
        <v>46184</v>
      </c>
      <c r="AK51" s="4"/>
      <c r="AL51" s="4"/>
      <c r="AM51" s="4"/>
      <c r="AN51" s="4">
        <f t="shared" si="7"/>
        <v>0</v>
      </c>
      <c r="AO51" s="4">
        <f t="shared" si="8"/>
        <v>100</v>
      </c>
      <c r="AP51" s="4">
        <f t="shared" si="9"/>
        <v>100</v>
      </c>
      <c r="AQ51" s="4">
        <f t="shared" si="10"/>
        <v>100</v>
      </c>
      <c r="AR51" s="4">
        <v>0</v>
      </c>
      <c r="AS51" s="5"/>
      <c r="AT51" s="4">
        <f t="shared" si="13"/>
        <v>80</v>
      </c>
      <c r="AU51" s="5">
        <v>100</v>
      </c>
      <c r="AV51" s="4">
        <f t="shared" si="11"/>
        <v>100</v>
      </c>
      <c r="AW51" s="4">
        <f t="shared" si="12"/>
        <v>60</v>
      </c>
      <c r="AX51" s="5"/>
      <c r="AY51" s="4" t="s">
        <v>976</v>
      </c>
      <c r="AZ51" s="4" t="s">
        <v>345</v>
      </c>
      <c r="BA51" s="4" t="s">
        <v>346</v>
      </c>
    </row>
    <row r="52" spans="1:53" ht="69.900000000000006" customHeight="1" x14ac:dyDescent="0.3">
      <c r="A52" s="4">
        <v>2025002700015</v>
      </c>
      <c r="B52" s="4" t="s">
        <v>95</v>
      </c>
      <c r="C52" s="4" t="s">
        <v>347</v>
      </c>
      <c r="D52" s="4" t="s">
        <v>348</v>
      </c>
      <c r="E52" s="4" t="s">
        <v>255</v>
      </c>
      <c r="F52" s="4" t="s">
        <v>286</v>
      </c>
      <c r="G52" s="4" t="s">
        <v>90</v>
      </c>
      <c r="H52" s="4" t="s">
        <v>91</v>
      </c>
      <c r="I52" s="4" t="s">
        <v>64</v>
      </c>
      <c r="J52" s="4" t="s">
        <v>101</v>
      </c>
      <c r="K52" s="5">
        <v>1000000435</v>
      </c>
      <c r="L52" s="5">
        <v>0</v>
      </c>
      <c r="M52" s="5">
        <v>0</v>
      </c>
      <c r="N52" s="5">
        <v>0</v>
      </c>
      <c r="O52" s="5">
        <v>1000000435</v>
      </c>
      <c r="P52" s="5">
        <v>414380180.25999999</v>
      </c>
      <c r="Q52" s="6">
        <v>46170</v>
      </c>
      <c r="R52" s="6">
        <v>45918</v>
      </c>
      <c r="S52" s="6">
        <v>45918</v>
      </c>
      <c r="T52" s="6">
        <v>45918</v>
      </c>
      <c r="U52" s="5">
        <v>88.89</v>
      </c>
      <c r="V52" s="5">
        <v>41.44</v>
      </c>
      <c r="W52" s="4">
        <v>1</v>
      </c>
      <c r="X52" s="4">
        <v>0.96</v>
      </c>
      <c r="Y52" s="6">
        <v>45912</v>
      </c>
      <c r="Z52" s="6">
        <v>45981</v>
      </c>
      <c r="AA52" s="6">
        <v>46008</v>
      </c>
      <c r="AB52" s="6">
        <v>46008</v>
      </c>
      <c r="AC52" s="6">
        <v>46009</v>
      </c>
      <c r="AD52" s="6">
        <v>46191</v>
      </c>
      <c r="AE52" s="6"/>
      <c r="AF52" s="6"/>
      <c r="AG52" s="6">
        <v>46188</v>
      </c>
      <c r="AH52" s="4" t="s">
        <v>938</v>
      </c>
      <c r="AI52" s="4" t="s">
        <v>952</v>
      </c>
      <c r="AJ52" s="6">
        <v>46184</v>
      </c>
      <c r="AK52" s="4"/>
      <c r="AL52" s="4"/>
      <c r="AM52" s="4"/>
      <c r="AN52" s="4">
        <f t="shared" si="7"/>
        <v>100</v>
      </c>
      <c r="AO52" s="4">
        <f t="shared" si="8"/>
        <v>100</v>
      </c>
      <c r="AP52" s="4">
        <f t="shared" si="9"/>
        <v>100</v>
      </c>
      <c r="AQ52" s="4">
        <f t="shared" si="10"/>
        <v>100</v>
      </c>
      <c r="AR52" s="4">
        <v>0</v>
      </c>
      <c r="AS52" s="5"/>
      <c r="AT52" s="4">
        <f t="shared" si="13"/>
        <v>80</v>
      </c>
      <c r="AU52" s="5">
        <v>100</v>
      </c>
      <c r="AV52" s="4">
        <f t="shared" si="11"/>
        <v>100</v>
      </c>
      <c r="AW52" s="4">
        <f t="shared" si="12"/>
        <v>100</v>
      </c>
      <c r="AX52" s="5"/>
      <c r="AY52" s="4" t="s">
        <v>973</v>
      </c>
      <c r="AZ52" s="4" t="s">
        <v>345</v>
      </c>
      <c r="BA52" s="4" t="s">
        <v>93</v>
      </c>
    </row>
    <row r="53" spans="1:53" ht="192" customHeight="1" x14ac:dyDescent="0.3">
      <c r="A53" s="4" t="s">
        <v>349</v>
      </c>
      <c r="B53" s="4" t="s">
        <v>95</v>
      </c>
      <c r="C53" s="4" t="s">
        <v>350</v>
      </c>
      <c r="D53" s="4" t="s">
        <v>351</v>
      </c>
      <c r="E53" s="4" t="s">
        <v>261</v>
      </c>
      <c r="F53" s="4" t="s">
        <v>352</v>
      </c>
      <c r="G53" s="4" t="s">
        <v>317</v>
      </c>
      <c r="H53" s="4" t="s">
        <v>318</v>
      </c>
      <c r="I53" s="4" t="s">
        <v>310</v>
      </c>
      <c r="J53" s="4" t="s">
        <v>275</v>
      </c>
      <c r="K53" s="5">
        <v>910271851.27999997</v>
      </c>
      <c r="L53" s="5">
        <v>0</v>
      </c>
      <c r="M53" s="5">
        <v>0</v>
      </c>
      <c r="N53" s="5">
        <v>0</v>
      </c>
      <c r="O53" s="5">
        <v>910271851.27999997</v>
      </c>
      <c r="P53" s="5">
        <v>0</v>
      </c>
      <c r="Q53" s="6"/>
      <c r="R53" s="6">
        <v>46002</v>
      </c>
      <c r="S53" s="6">
        <v>46009</v>
      </c>
      <c r="T53" s="6">
        <v>46009</v>
      </c>
      <c r="U53" s="5">
        <v>0</v>
      </c>
      <c r="V53" s="5">
        <v>0</v>
      </c>
      <c r="W53" s="4"/>
      <c r="X53" s="4"/>
      <c r="Y53" s="6">
        <v>46000</v>
      </c>
      <c r="Z53" s="6">
        <v>46079</v>
      </c>
      <c r="AA53" s="6">
        <v>46163</v>
      </c>
      <c r="AB53" s="6">
        <v>46163</v>
      </c>
      <c r="AC53" s="6"/>
      <c r="AD53" s="6"/>
      <c r="AE53" s="6"/>
      <c r="AF53" s="6"/>
      <c r="AG53" s="6">
        <v>46188</v>
      </c>
      <c r="AH53" s="7" t="s">
        <v>939</v>
      </c>
      <c r="AI53" s="4" t="s">
        <v>950</v>
      </c>
      <c r="AJ53" s="6">
        <v>46184</v>
      </c>
      <c r="AK53" s="4"/>
      <c r="AL53" s="4"/>
      <c r="AM53" s="4">
        <v>0</v>
      </c>
      <c r="AN53" s="4" t="str">
        <f t="shared" si="7"/>
        <v/>
      </c>
      <c r="AO53" s="4" t="str">
        <f t="shared" si="8"/>
        <v/>
      </c>
      <c r="AP53" s="4">
        <f t="shared" si="9"/>
        <v>100</v>
      </c>
      <c r="AQ53" s="4" t="str">
        <f t="shared" si="10"/>
        <v/>
      </c>
      <c r="AR53" s="4">
        <v>0</v>
      </c>
      <c r="AS53" s="5"/>
      <c r="AT53" s="4">
        <f t="shared" si="13"/>
        <v>80</v>
      </c>
      <c r="AU53" s="5">
        <v>100</v>
      </c>
      <c r="AV53" s="4">
        <f t="shared" si="11"/>
        <v>100</v>
      </c>
      <c r="AW53" s="4">
        <f t="shared" si="12"/>
        <v>100</v>
      </c>
      <c r="AX53" s="5"/>
      <c r="AY53" s="4" t="s">
        <v>977</v>
      </c>
      <c r="AZ53" s="4" t="s">
        <v>345</v>
      </c>
      <c r="BA53" s="4" t="s">
        <v>240</v>
      </c>
    </row>
    <row r="54" spans="1:53" ht="107.25" customHeight="1" x14ac:dyDescent="0.3">
      <c r="A54" s="4" t="s">
        <v>353</v>
      </c>
      <c r="B54" s="4" t="s">
        <v>95</v>
      </c>
      <c r="C54" s="4" t="s">
        <v>354</v>
      </c>
      <c r="D54" s="4" t="s">
        <v>355</v>
      </c>
      <c r="E54" s="4" t="s">
        <v>98</v>
      </c>
      <c r="F54" s="4" t="s">
        <v>356</v>
      </c>
      <c r="G54" s="4" t="s">
        <v>300</v>
      </c>
      <c r="H54" s="4"/>
      <c r="I54" s="4"/>
      <c r="J54" s="4" t="s">
        <v>205</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v>46188</v>
      </c>
      <c r="AH54" s="4" t="s">
        <v>940</v>
      </c>
      <c r="AI54" s="4" t="s">
        <v>946</v>
      </c>
      <c r="AJ54" s="6">
        <v>46184</v>
      </c>
      <c r="AK54" s="4">
        <v>77</v>
      </c>
      <c r="AL54" s="4"/>
      <c r="AM54" s="4"/>
      <c r="AN54" s="4" t="str">
        <f t="shared" si="7"/>
        <v/>
      </c>
      <c r="AO54" s="4" t="str">
        <f t="shared" si="8"/>
        <v/>
      </c>
      <c r="AP54" s="4">
        <f t="shared" si="9"/>
        <v>100</v>
      </c>
      <c r="AQ54" s="4" t="str">
        <f t="shared" si="10"/>
        <v/>
      </c>
      <c r="AR54" s="4">
        <v>0</v>
      </c>
      <c r="AS54" s="5">
        <v>100</v>
      </c>
      <c r="AT54" s="4">
        <f t="shared" si="13"/>
        <v>80</v>
      </c>
      <c r="AU54" s="5">
        <v>100</v>
      </c>
      <c r="AV54" s="4">
        <f t="shared" si="11"/>
        <v>100</v>
      </c>
      <c r="AW54" s="4" t="str">
        <f t="shared" si="12"/>
        <v/>
      </c>
      <c r="AX54" s="5"/>
      <c r="AY54" s="4" t="s">
        <v>357</v>
      </c>
      <c r="AZ54" s="4" t="s">
        <v>78</v>
      </c>
      <c r="BA54" s="4" t="s">
        <v>358</v>
      </c>
    </row>
    <row r="55" spans="1:53" ht="69.900000000000006" customHeight="1" x14ac:dyDescent="0.3">
      <c r="A55" s="4" t="s">
        <v>359</v>
      </c>
      <c r="B55" s="4" t="s">
        <v>246</v>
      </c>
      <c r="C55" s="4" t="s">
        <v>360</v>
      </c>
      <c r="D55" s="4" t="s">
        <v>361</v>
      </c>
      <c r="E55" s="4" t="s">
        <v>249</v>
      </c>
      <c r="F55" s="4" t="s">
        <v>362</v>
      </c>
      <c r="G55" s="4" t="s">
        <v>90</v>
      </c>
      <c r="H55" s="4" t="s">
        <v>91</v>
      </c>
      <c r="I55" s="4" t="s">
        <v>64</v>
      </c>
      <c r="J55" s="4" t="s">
        <v>101</v>
      </c>
      <c r="K55" s="5">
        <v>1265672010</v>
      </c>
      <c r="L55" s="5">
        <v>0</v>
      </c>
      <c r="M55" s="5">
        <v>0</v>
      </c>
      <c r="N55" s="5">
        <v>0</v>
      </c>
      <c r="O55" s="5">
        <v>1265672010</v>
      </c>
      <c r="P55" s="5">
        <v>0</v>
      </c>
      <c r="Q55" s="6"/>
      <c r="R55" s="6">
        <v>45973</v>
      </c>
      <c r="S55" s="6">
        <v>45979</v>
      </c>
      <c r="T55" s="6">
        <v>45975</v>
      </c>
      <c r="U55" s="5">
        <v>36.46</v>
      </c>
      <c r="V55" s="5">
        <v>0</v>
      </c>
      <c r="W55" s="4">
        <v>1</v>
      </c>
      <c r="X55" s="4">
        <v>0.65</v>
      </c>
      <c r="Y55" s="6">
        <v>45967</v>
      </c>
      <c r="Z55" s="6">
        <v>46076</v>
      </c>
      <c r="AA55" s="6">
        <v>46094</v>
      </c>
      <c r="AB55" s="6">
        <v>46094</v>
      </c>
      <c r="AC55" s="6">
        <v>46139</v>
      </c>
      <c r="AD55" s="6">
        <v>46199</v>
      </c>
      <c r="AE55" s="6"/>
      <c r="AF55" s="6"/>
      <c r="AG55" s="6">
        <v>46188</v>
      </c>
      <c r="AH55" s="4" t="s">
        <v>991</v>
      </c>
      <c r="AI55" s="7" t="s">
        <v>993</v>
      </c>
      <c r="AJ55" s="6">
        <v>46183</v>
      </c>
      <c r="AK55" s="4"/>
      <c r="AL55" s="4"/>
      <c r="AM55" s="4"/>
      <c r="AN55" s="4">
        <f t="shared" si="7"/>
        <v>58.695652173913047</v>
      </c>
      <c r="AO55" s="4">
        <f t="shared" si="8"/>
        <v>100</v>
      </c>
      <c r="AP55" s="4">
        <f t="shared" si="9"/>
        <v>100</v>
      </c>
      <c r="AQ55" s="4">
        <f t="shared" si="10"/>
        <v>100</v>
      </c>
      <c r="AR55" s="4">
        <v>0</v>
      </c>
      <c r="AS55" s="5"/>
      <c r="AT55" s="4">
        <f t="shared" si="13"/>
        <v>100</v>
      </c>
      <c r="AU55" s="5">
        <v>100</v>
      </c>
      <c r="AV55" s="4">
        <f t="shared" si="11"/>
        <v>100</v>
      </c>
      <c r="AW55" s="8">
        <f t="shared" si="12"/>
        <v>83.478260869565219</v>
      </c>
      <c r="AX55" s="5"/>
      <c r="AY55" s="4" t="s">
        <v>985</v>
      </c>
      <c r="AZ55" s="4" t="s">
        <v>345</v>
      </c>
      <c r="BA55" s="4" t="s">
        <v>363</v>
      </c>
    </row>
    <row r="56" spans="1:53" ht="212.4" customHeight="1" x14ac:dyDescent="0.3">
      <c r="A56" s="4" t="s">
        <v>364</v>
      </c>
      <c r="B56" s="4" t="s">
        <v>246</v>
      </c>
      <c r="C56" s="4" t="s">
        <v>365</v>
      </c>
      <c r="D56" s="4" t="s">
        <v>366</v>
      </c>
      <c r="E56" s="4" t="s">
        <v>249</v>
      </c>
      <c r="F56" s="4" t="s">
        <v>367</v>
      </c>
      <c r="G56" s="4" t="s">
        <v>317</v>
      </c>
      <c r="H56" s="4" t="s">
        <v>318</v>
      </c>
      <c r="I56" s="4" t="s">
        <v>310</v>
      </c>
      <c r="J56" s="4" t="s">
        <v>368</v>
      </c>
      <c r="K56" s="5">
        <v>1631281390</v>
      </c>
      <c r="L56" s="5">
        <v>0</v>
      </c>
      <c r="M56" s="5">
        <v>41120776</v>
      </c>
      <c r="N56" s="5">
        <v>0</v>
      </c>
      <c r="O56" s="5">
        <v>1672402166</v>
      </c>
      <c r="P56" s="5">
        <v>0</v>
      </c>
      <c r="Q56" s="6"/>
      <c r="R56" s="6">
        <v>45971</v>
      </c>
      <c r="S56" s="6">
        <v>46009</v>
      </c>
      <c r="T56" s="6">
        <v>45975</v>
      </c>
      <c r="U56" s="5">
        <v>0</v>
      </c>
      <c r="V56" s="5">
        <v>0</v>
      </c>
      <c r="W56" s="4"/>
      <c r="X56" s="4"/>
      <c r="Y56" s="6">
        <v>45957</v>
      </c>
      <c r="Z56" s="6">
        <v>46051</v>
      </c>
      <c r="AA56" s="6">
        <v>46057</v>
      </c>
      <c r="AB56" s="6">
        <v>46057</v>
      </c>
      <c r="AC56" s="6"/>
      <c r="AD56" s="6"/>
      <c r="AE56" s="6"/>
      <c r="AF56" s="6"/>
      <c r="AG56" s="6">
        <v>46188</v>
      </c>
      <c r="AH56" s="7" t="s">
        <v>992</v>
      </c>
      <c r="AI56" s="7" t="s">
        <v>998</v>
      </c>
      <c r="AJ56" s="6">
        <v>46183</v>
      </c>
      <c r="AK56" s="4"/>
      <c r="AL56" s="4"/>
      <c r="AM56" s="4">
        <v>100</v>
      </c>
      <c r="AN56" s="4" t="str">
        <f t="shared" si="7"/>
        <v/>
      </c>
      <c r="AO56" s="4" t="str">
        <f t="shared" si="8"/>
        <v/>
      </c>
      <c r="AP56" s="4">
        <f t="shared" si="9"/>
        <v>100</v>
      </c>
      <c r="AQ56" s="4" t="str">
        <f t="shared" si="10"/>
        <v/>
      </c>
      <c r="AR56" s="4">
        <v>0</v>
      </c>
      <c r="AS56" s="5">
        <v>0</v>
      </c>
      <c r="AT56" s="4">
        <f t="shared" si="13"/>
        <v>100</v>
      </c>
      <c r="AU56" s="5">
        <v>0</v>
      </c>
      <c r="AV56" s="4">
        <f t="shared" si="11"/>
        <v>100</v>
      </c>
      <c r="AW56" s="4">
        <f t="shared" si="12"/>
        <v>0</v>
      </c>
      <c r="AX56" s="5"/>
      <c r="AY56" s="4" t="s">
        <v>986</v>
      </c>
      <c r="AZ56" s="4" t="s">
        <v>345</v>
      </c>
      <c r="BA56" s="4" t="s">
        <v>369</v>
      </c>
    </row>
    <row r="57" spans="1:53" ht="126" customHeight="1" x14ac:dyDescent="0.3">
      <c r="A57" s="4" t="s">
        <v>370</v>
      </c>
      <c r="B57" s="4" t="s">
        <v>95</v>
      </c>
      <c r="C57" s="4" t="s">
        <v>371</v>
      </c>
      <c r="D57" s="4" t="s">
        <v>372</v>
      </c>
      <c r="E57" s="4" t="s">
        <v>261</v>
      </c>
      <c r="F57" s="4" t="s">
        <v>373</v>
      </c>
      <c r="G57" s="4" t="s">
        <v>300</v>
      </c>
      <c r="H57" s="4"/>
      <c r="I57" s="4"/>
      <c r="J57" s="4" t="s">
        <v>374</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c r="AB57" s="6"/>
      <c r="AC57" s="6"/>
      <c r="AD57" s="6"/>
      <c r="AE57" s="6"/>
      <c r="AF57" s="6"/>
      <c r="AG57" s="6">
        <v>46188</v>
      </c>
      <c r="AH57" s="4" t="s">
        <v>941</v>
      </c>
      <c r="AI57" s="4" t="s">
        <v>944</v>
      </c>
      <c r="AJ57" s="6">
        <v>46184</v>
      </c>
      <c r="AK57" s="4">
        <v>177</v>
      </c>
      <c r="AL57" s="4"/>
      <c r="AM57" s="4"/>
      <c r="AN57" s="4" t="str">
        <f t="shared" si="7"/>
        <v/>
      </c>
      <c r="AO57" s="4" t="str">
        <f t="shared" si="8"/>
        <v/>
      </c>
      <c r="AP57" s="4">
        <f t="shared" si="9"/>
        <v>100</v>
      </c>
      <c r="AQ57" s="4" t="str">
        <f t="shared" si="10"/>
        <v/>
      </c>
      <c r="AR57" s="4">
        <v>0</v>
      </c>
      <c r="AS57" s="5">
        <v>0</v>
      </c>
      <c r="AT57" s="4">
        <f t="shared" si="13"/>
        <v>80</v>
      </c>
      <c r="AU57" s="5">
        <v>100</v>
      </c>
      <c r="AV57" s="4">
        <f t="shared" si="11"/>
        <v>100</v>
      </c>
      <c r="AW57" s="4" t="str">
        <f t="shared" si="12"/>
        <v/>
      </c>
      <c r="AX57" s="5"/>
      <c r="AY57" s="4" t="s">
        <v>978</v>
      </c>
      <c r="AZ57" s="4" t="s">
        <v>345</v>
      </c>
      <c r="BA57" s="4" t="s">
        <v>375</v>
      </c>
    </row>
    <row r="58" spans="1:53" ht="113.25" customHeight="1" x14ac:dyDescent="0.3">
      <c r="A58" s="4" t="s">
        <v>376</v>
      </c>
      <c r="B58" s="4" t="s">
        <v>95</v>
      </c>
      <c r="C58" s="4" t="s">
        <v>377</v>
      </c>
      <c r="D58" s="4" t="s">
        <v>378</v>
      </c>
      <c r="E58" s="4" t="s">
        <v>202</v>
      </c>
      <c r="F58" s="4" t="s">
        <v>379</v>
      </c>
      <c r="G58" s="4" t="s">
        <v>300</v>
      </c>
      <c r="H58" s="4"/>
      <c r="I58" s="4"/>
      <c r="J58" s="4" t="s">
        <v>374</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v>46188</v>
      </c>
      <c r="AH58" s="4" t="s">
        <v>942</v>
      </c>
      <c r="AI58" s="4" t="s">
        <v>945</v>
      </c>
      <c r="AJ58" s="6">
        <v>46184</v>
      </c>
      <c r="AK58" s="4">
        <v>147</v>
      </c>
      <c r="AL58" s="4"/>
      <c r="AM58" s="4"/>
      <c r="AN58" s="4" t="str">
        <f t="shared" si="7"/>
        <v/>
      </c>
      <c r="AO58" s="4" t="str">
        <f t="shared" si="8"/>
        <v/>
      </c>
      <c r="AP58" s="4">
        <f t="shared" si="9"/>
        <v>100</v>
      </c>
      <c r="AQ58" s="4" t="str">
        <f t="shared" si="10"/>
        <v/>
      </c>
      <c r="AR58" s="4">
        <v>0</v>
      </c>
      <c r="AS58" s="5">
        <v>0</v>
      </c>
      <c r="AT58" s="4">
        <f t="shared" si="13"/>
        <v>80</v>
      </c>
      <c r="AU58" s="5">
        <v>100</v>
      </c>
      <c r="AV58" s="4">
        <f t="shared" si="11"/>
        <v>100</v>
      </c>
      <c r="AW58" s="4" t="str">
        <f t="shared" si="12"/>
        <v/>
      </c>
      <c r="AX58" s="5"/>
      <c r="AY58" s="4" t="s">
        <v>380</v>
      </c>
      <c r="AZ58" s="4" t="s">
        <v>103</v>
      </c>
      <c r="BA58" s="4" t="s">
        <v>68</v>
      </c>
    </row>
    <row r="59" spans="1:53" ht="97.5" customHeight="1" x14ac:dyDescent="0.3">
      <c r="A59" s="4" t="s">
        <v>381</v>
      </c>
      <c r="B59" s="4" t="s">
        <v>95</v>
      </c>
      <c r="C59" s="4" t="s">
        <v>382</v>
      </c>
      <c r="D59" s="4" t="s">
        <v>383</v>
      </c>
      <c r="E59" s="4" t="s">
        <v>98</v>
      </c>
      <c r="F59" s="4" t="s">
        <v>384</v>
      </c>
      <c r="G59" s="4" t="s">
        <v>300</v>
      </c>
      <c r="H59" s="4"/>
      <c r="I59" s="4"/>
      <c r="J59" s="4" t="s">
        <v>385</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v>46188</v>
      </c>
      <c r="AH59" s="4" t="s">
        <v>940</v>
      </c>
      <c r="AI59" s="4" t="s">
        <v>947</v>
      </c>
      <c r="AJ59" s="6">
        <v>46184</v>
      </c>
      <c r="AK59" s="4">
        <v>77</v>
      </c>
      <c r="AL59" s="4"/>
      <c r="AM59" s="4"/>
      <c r="AN59" s="4" t="str">
        <f t="shared" si="7"/>
        <v/>
      </c>
      <c r="AO59" s="4" t="str">
        <f t="shared" si="8"/>
        <v/>
      </c>
      <c r="AP59" s="4">
        <f t="shared" si="9"/>
        <v>100</v>
      </c>
      <c r="AQ59" s="4" t="str">
        <f t="shared" si="10"/>
        <v/>
      </c>
      <c r="AR59" s="4">
        <v>0</v>
      </c>
      <c r="AS59" s="5">
        <v>100</v>
      </c>
      <c r="AT59" s="4">
        <f t="shared" si="13"/>
        <v>80</v>
      </c>
      <c r="AU59" s="5">
        <v>100</v>
      </c>
      <c r="AV59" s="4">
        <f t="shared" si="11"/>
        <v>100</v>
      </c>
      <c r="AW59" s="4" t="str">
        <f t="shared" si="12"/>
        <v/>
      </c>
      <c r="AX59" s="5"/>
      <c r="AY59" s="4" t="s">
        <v>386</v>
      </c>
      <c r="AZ59" s="4" t="s">
        <v>78</v>
      </c>
      <c r="BA59" s="4" t="s">
        <v>387</v>
      </c>
    </row>
    <row r="60" spans="1:53" ht="69.900000000000006" customHeight="1" x14ac:dyDescent="0.3">
      <c r="A60" s="4" t="s">
        <v>388</v>
      </c>
      <c r="B60" s="4" t="s">
        <v>95</v>
      </c>
      <c r="C60" s="4" t="s">
        <v>389</v>
      </c>
      <c r="D60" s="4" t="s">
        <v>390</v>
      </c>
      <c r="E60" s="4" t="s">
        <v>261</v>
      </c>
      <c r="F60" s="4" t="s">
        <v>391</v>
      </c>
      <c r="G60" s="4" t="s">
        <v>300</v>
      </c>
      <c r="H60" s="4"/>
      <c r="I60" s="4"/>
      <c r="J60" s="4" t="s">
        <v>392</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v>46188</v>
      </c>
      <c r="AH60" s="4" t="s">
        <v>943</v>
      </c>
      <c r="AI60" s="4"/>
      <c r="AJ60" s="6">
        <v>46184</v>
      </c>
      <c r="AK60" s="4">
        <v>19</v>
      </c>
      <c r="AL60" s="4"/>
      <c r="AM60" s="4"/>
      <c r="AN60" s="4" t="str">
        <f t="shared" si="7"/>
        <v/>
      </c>
      <c r="AO60" s="4" t="str">
        <f t="shared" si="8"/>
        <v/>
      </c>
      <c r="AP60" s="4">
        <f t="shared" si="9"/>
        <v>100</v>
      </c>
      <c r="AQ60" s="4" t="str">
        <f t="shared" si="10"/>
        <v/>
      </c>
      <c r="AR60" s="4"/>
      <c r="AS60" s="5">
        <v>100</v>
      </c>
      <c r="AT60" s="4">
        <f t="shared" si="13"/>
        <v>80</v>
      </c>
      <c r="AU60" s="5">
        <v>100</v>
      </c>
      <c r="AV60" s="4">
        <f t="shared" si="11"/>
        <v>100</v>
      </c>
      <c r="AW60" s="4" t="str">
        <f t="shared" si="12"/>
        <v/>
      </c>
      <c r="AX60" s="5"/>
      <c r="AY60" s="4" t="s">
        <v>979</v>
      </c>
      <c r="AZ60" s="4" t="s">
        <v>103</v>
      </c>
      <c r="BA60" s="4" t="s">
        <v>240</v>
      </c>
    </row>
  </sheetData>
  <mergeCells count="3">
    <mergeCell ref="A1:T1"/>
    <mergeCell ref="U1:AR1"/>
    <mergeCell ref="AS1:BA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topLeftCell="L1" workbookViewId="0">
      <selection sqref="A1:N1"/>
    </sheetView>
  </sheetViews>
  <sheetFormatPr baseColWidth="10" defaultColWidth="9.109375" defaultRowHeight="14.4" x14ac:dyDescent="0.3"/>
  <cols>
    <col min="1" max="31" width="25.6640625" customWidth="1"/>
    <col min="32" max="32" width="25.6640625" hidden="1" customWidth="1"/>
    <col min="33" max="37" width="25.6640625" customWidth="1"/>
    <col min="38" max="38" width="25.6640625" hidden="1" customWidth="1"/>
    <col min="39" max="42" width="25.6640625" customWidth="1"/>
  </cols>
  <sheetData>
    <row r="1" spans="1:42" ht="39.9" customHeight="1" x14ac:dyDescent="0.3">
      <c r="A1" s="9" t="s">
        <v>0</v>
      </c>
      <c r="B1" s="9"/>
      <c r="C1" s="9"/>
      <c r="D1" s="9"/>
      <c r="E1" s="9"/>
      <c r="F1" s="9"/>
      <c r="G1" s="9"/>
      <c r="H1" s="9"/>
      <c r="I1" s="9"/>
      <c r="J1" s="9"/>
      <c r="K1" s="9"/>
      <c r="L1" s="9"/>
      <c r="M1" s="9"/>
      <c r="N1" s="9"/>
      <c r="O1" s="10" t="s">
        <v>1</v>
      </c>
      <c r="P1" s="10"/>
      <c r="Q1" s="10"/>
      <c r="R1" s="10"/>
      <c r="S1" s="10"/>
      <c r="T1" s="10"/>
      <c r="U1" s="10"/>
      <c r="V1" s="10"/>
      <c r="W1" s="10"/>
      <c r="X1" s="10"/>
      <c r="Y1" s="10"/>
      <c r="Z1" s="10"/>
      <c r="AA1" s="10"/>
      <c r="AB1" s="10"/>
      <c r="AC1" s="10"/>
      <c r="AD1" s="10"/>
      <c r="AE1" s="10"/>
      <c r="AF1" s="10"/>
      <c r="AG1" s="10"/>
      <c r="AH1" s="10"/>
      <c r="AI1" s="9" t="s">
        <v>2</v>
      </c>
      <c r="AJ1" s="9"/>
      <c r="AK1" s="9"/>
      <c r="AL1" s="9"/>
      <c r="AM1" s="9"/>
      <c r="AN1" s="9"/>
      <c r="AO1" s="9"/>
      <c r="AP1" s="9"/>
    </row>
    <row r="2" spans="1:42" ht="69.900000000000006" customHeight="1" x14ac:dyDescent="0.3">
      <c r="A2" s="1" t="s">
        <v>3</v>
      </c>
      <c r="B2" s="1" t="s">
        <v>393</v>
      </c>
      <c r="C2" s="1" t="s">
        <v>394</v>
      </c>
      <c r="D2" s="1" t="s">
        <v>395</v>
      </c>
      <c r="E2" s="1" t="s">
        <v>7</v>
      </c>
      <c r="F2" s="1" t="s">
        <v>396</v>
      </c>
      <c r="G2" s="1" t="s">
        <v>9</v>
      </c>
      <c r="H2" s="1" t="s">
        <v>10</v>
      </c>
      <c r="I2" s="1" t="s">
        <v>13</v>
      </c>
      <c r="J2" s="1" t="s">
        <v>15</v>
      </c>
      <c r="K2" s="1" t="s">
        <v>397</v>
      </c>
      <c r="L2" s="1" t="s">
        <v>20</v>
      </c>
      <c r="M2" s="1" t="s">
        <v>21</v>
      </c>
      <c r="N2" s="1" t="s">
        <v>22</v>
      </c>
      <c r="O2" s="2" t="s">
        <v>398</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69.900000000000006" customHeight="1" x14ac:dyDescent="0.3">
      <c r="A3" s="4" t="s">
        <v>399</v>
      </c>
      <c r="B3" s="4" t="s">
        <v>400</v>
      </c>
      <c r="C3" s="4" t="s">
        <v>401</v>
      </c>
      <c r="D3" s="4" t="s">
        <v>402</v>
      </c>
      <c r="E3" s="4" t="s">
        <v>255</v>
      </c>
      <c r="F3" s="4" t="s">
        <v>403</v>
      </c>
      <c r="G3" s="4" t="s">
        <v>62</v>
      </c>
      <c r="H3" s="4" t="s">
        <v>404</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5"/>
      <c r="AO3" s="4" t="s">
        <v>405</v>
      </c>
      <c r="AP3" s="4" t="s">
        <v>68</v>
      </c>
    </row>
    <row r="4" spans="1:42" ht="69.900000000000006" customHeight="1" x14ac:dyDescent="0.3">
      <c r="A4" s="4" t="s">
        <v>406</v>
      </c>
      <c r="B4" s="4" t="s">
        <v>400</v>
      </c>
      <c r="C4" s="4" t="s">
        <v>407</v>
      </c>
      <c r="D4" s="4" t="s">
        <v>408</v>
      </c>
      <c r="E4" s="4" t="s">
        <v>255</v>
      </c>
      <c r="F4" s="4" t="s">
        <v>409</v>
      </c>
      <c r="G4" s="4" t="s">
        <v>62</v>
      </c>
      <c r="H4" s="4" t="s">
        <v>404</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c r="AO4" s="4" t="s">
        <v>405</v>
      </c>
      <c r="AP4" s="4" t="s">
        <v>68</v>
      </c>
    </row>
    <row r="5" spans="1:42" ht="69.900000000000006" customHeight="1" x14ac:dyDescent="0.3">
      <c r="A5" s="4" t="s">
        <v>410</v>
      </c>
      <c r="B5" s="4" t="s">
        <v>411</v>
      </c>
      <c r="C5" s="4" t="s">
        <v>412</v>
      </c>
      <c r="D5" s="4" t="s">
        <v>413</v>
      </c>
      <c r="E5" s="4" t="s">
        <v>60</v>
      </c>
      <c r="F5" s="4" t="s">
        <v>167</v>
      </c>
      <c r="G5" s="4" t="s">
        <v>90</v>
      </c>
      <c r="H5" s="4" t="s">
        <v>414</v>
      </c>
      <c r="I5" s="5">
        <v>3153851580.9099998</v>
      </c>
      <c r="J5" s="5">
        <v>0</v>
      </c>
      <c r="K5" s="5">
        <v>3153851580.9099998</v>
      </c>
      <c r="L5" s="6">
        <v>44567</v>
      </c>
      <c r="M5" s="6">
        <v>44568</v>
      </c>
      <c r="N5" s="6"/>
      <c r="O5" s="5">
        <v>96.02</v>
      </c>
      <c r="P5" s="5">
        <v>94.36</v>
      </c>
      <c r="Q5" s="4">
        <v>1</v>
      </c>
      <c r="R5" s="4">
        <v>1</v>
      </c>
      <c r="S5" s="6">
        <v>44536</v>
      </c>
      <c r="T5" s="6">
        <v>44930</v>
      </c>
      <c r="U5" s="6">
        <v>44718</v>
      </c>
      <c r="V5" s="6"/>
      <c r="W5" s="6">
        <v>44722</v>
      </c>
      <c r="X5" s="6"/>
      <c r="Y5" s="6"/>
      <c r="Z5" s="6">
        <v>46096</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5"/>
      <c r="AO5" s="4" t="s">
        <v>415</v>
      </c>
      <c r="AP5" s="4" t="s">
        <v>93</v>
      </c>
    </row>
    <row r="6" spans="1:42" ht="69.900000000000006" customHeight="1" x14ac:dyDescent="0.3">
      <c r="A6" s="4" t="s">
        <v>416</v>
      </c>
      <c r="B6" s="4" t="s">
        <v>400</v>
      </c>
      <c r="C6" s="4" t="s">
        <v>417</v>
      </c>
      <c r="D6" s="4" t="s">
        <v>418</v>
      </c>
      <c r="E6" s="4" t="s">
        <v>255</v>
      </c>
      <c r="F6" s="4" t="s">
        <v>419</v>
      </c>
      <c r="G6" s="4" t="s">
        <v>90</v>
      </c>
      <c r="H6" s="4" t="s">
        <v>420</v>
      </c>
      <c r="I6" s="5">
        <v>6026477761</v>
      </c>
      <c r="J6" s="5">
        <v>4412367709</v>
      </c>
      <c r="K6" s="5">
        <v>10438845470</v>
      </c>
      <c r="L6" s="6">
        <v>44623</v>
      </c>
      <c r="M6" s="6">
        <v>44624</v>
      </c>
      <c r="N6" s="6">
        <v>44509</v>
      </c>
      <c r="O6" s="5">
        <v>73.45</v>
      </c>
      <c r="P6" s="5">
        <v>49.45</v>
      </c>
      <c r="Q6" s="4">
        <v>1</v>
      </c>
      <c r="R6" s="4">
        <v>0.97</v>
      </c>
      <c r="S6" s="6">
        <v>44503</v>
      </c>
      <c r="T6" s="6">
        <v>44643</v>
      </c>
      <c r="U6" s="6">
        <v>44706</v>
      </c>
      <c r="V6" s="6"/>
      <c r="W6" s="6">
        <v>44810</v>
      </c>
      <c r="X6" s="6"/>
      <c r="Y6" s="6"/>
      <c r="Z6" s="6">
        <v>46127</v>
      </c>
      <c r="AA6" s="4"/>
      <c r="AB6" s="4"/>
      <c r="AC6" s="4"/>
      <c r="AD6" s="4">
        <f t="shared" si="0"/>
        <v>100</v>
      </c>
      <c r="AE6" s="4">
        <f t="shared" si="1"/>
        <v>100</v>
      </c>
      <c r="AF6" s="4">
        <f t="shared" si="2"/>
        <v>100</v>
      </c>
      <c r="AG6" s="4">
        <f t="shared" si="3"/>
        <v>100</v>
      </c>
      <c r="AH6" s="4">
        <v>4</v>
      </c>
      <c r="AI6" s="4"/>
      <c r="AJ6" s="4">
        <v>100</v>
      </c>
      <c r="AK6" s="4">
        <v>100</v>
      </c>
      <c r="AL6" s="4">
        <f t="shared" si="4"/>
        <v>50</v>
      </c>
      <c r="AM6" s="4">
        <f t="shared" si="5"/>
        <v>50</v>
      </c>
      <c r="AN6" s="5"/>
      <c r="AO6" s="4" t="s">
        <v>421</v>
      </c>
      <c r="AP6" s="4" t="s">
        <v>168</v>
      </c>
    </row>
    <row r="7" spans="1:42" ht="69.900000000000006" customHeight="1" x14ac:dyDescent="0.3">
      <c r="A7" s="4" t="s">
        <v>422</v>
      </c>
      <c r="B7" s="4" t="s">
        <v>400</v>
      </c>
      <c r="C7" s="4" t="s">
        <v>423</v>
      </c>
      <c r="D7" s="4" t="s">
        <v>424</v>
      </c>
      <c r="E7" s="4" t="s">
        <v>255</v>
      </c>
      <c r="F7" s="4" t="s">
        <v>425</v>
      </c>
      <c r="G7" s="4" t="s">
        <v>90</v>
      </c>
      <c r="H7" s="4" t="s">
        <v>414</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c r="W7" s="6">
        <v>45175</v>
      </c>
      <c r="X7" s="6"/>
      <c r="Y7" s="6"/>
      <c r="Z7" s="6">
        <v>46127</v>
      </c>
      <c r="AA7" s="4"/>
      <c r="AB7" s="4"/>
      <c r="AC7" s="4"/>
      <c r="AD7" s="4">
        <f t="shared" si="0"/>
        <v>100</v>
      </c>
      <c r="AE7" s="4">
        <f t="shared" si="1"/>
        <v>100</v>
      </c>
      <c r="AF7" s="4">
        <f t="shared" si="2"/>
        <v>100</v>
      </c>
      <c r="AG7" s="4">
        <f t="shared" si="3"/>
        <v>100</v>
      </c>
      <c r="AH7" s="4">
        <v>4</v>
      </c>
      <c r="AI7" s="4"/>
      <c r="AJ7" s="4">
        <v>100</v>
      </c>
      <c r="AK7" s="4">
        <v>100</v>
      </c>
      <c r="AL7" s="4">
        <f t="shared" si="4"/>
        <v>50</v>
      </c>
      <c r="AM7" s="4">
        <f t="shared" si="5"/>
        <v>50</v>
      </c>
      <c r="AN7" s="5"/>
      <c r="AO7" s="4" t="s">
        <v>421</v>
      </c>
      <c r="AP7" s="4" t="s">
        <v>68</v>
      </c>
    </row>
    <row r="8" spans="1:42" ht="69.900000000000006" customHeight="1" x14ac:dyDescent="0.3">
      <c r="A8" s="4" t="s">
        <v>426</v>
      </c>
      <c r="B8" s="4" t="s">
        <v>411</v>
      </c>
      <c r="C8" s="4" t="s">
        <v>427</v>
      </c>
      <c r="D8" s="4" t="s">
        <v>428</v>
      </c>
      <c r="E8" s="4" t="s">
        <v>60</v>
      </c>
      <c r="F8" s="4" t="s">
        <v>101</v>
      </c>
      <c r="G8" s="4" t="s">
        <v>62</v>
      </c>
      <c r="H8" s="4" t="s">
        <v>404</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46096</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c r="AO8" s="4" t="s">
        <v>405</v>
      </c>
      <c r="AP8" s="4" t="s">
        <v>429</v>
      </c>
    </row>
    <row r="9" spans="1:42" ht="69.900000000000006" customHeight="1" x14ac:dyDescent="0.3">
      <c r="A9" s="4" t="s">
        <v>430</v>
      </c>
      <c r="B9" s="4" t="s">
        <v>411</v>
      </c>
      <c r="C9" s="4" t="s">
        <v>431</v>
      </c>
      <c r="D9" s="4" t="s">
        <v>432</v>
      </c>
      <c r="E9" s="4" t="s">
        <v>261</v>
      </c>
      <c r="F9" s="4" t="s">
        <v>433</v>
      </c>
      <c r="G9" s="4" t="s">
        <v>109</v>
      </c>
      <c r="H9" s="4" t="s">
        <v>404</v>
      </c>
      <c r="I9" s="5">
        <v>13713002364.719999</v>
      </c>
      <c r="J9" s="5">
        <v>0</v>
      </c>
      <c r="K9" s="5">
        <v>13713002364.719999</v>
      </c>
      <c r="L9" s="6">
        <v>45301</v>
      </c>
      <c r="M9" s="6">
        <v>45302</v>
      </c>
      <c r="N9" s="6">
        <v>45290</v>
      </c>
      <c r="O9" s="5">
        <v>100</v>
      </c>
      <c r="P9" s="5">
        <v>99.99</v>
      </c>
      <c r="Q9" s="4">
        <v>1</v>
      </c>
      <c r="R9" s="4">
        <v>1</v>
      </c>
      <c r="S9" s="6">
        <v>45290</v>
      </c>
      <c r="T9" s="6">
        <v>45433</v>
      </c>
      <c r="U9" s="6">
        <v>45505</v>
      </c>
      <c r="V9" s="6"/>
      <c r="W9" s="6">
        <v>45567</v>
      </c>
      <c r="X9" s="6"/>
      <c r="Y9" s="6"/>
      <c r="Z9" s="6">
        <v>46096</v>
      </c>
      <c r="AA9" s="4"/>
      <c r="AB9" s="4"/>
      <c r="AC9" s="4"/>
      <c r="AD9" s="4" t="str">
        <f t="shared" si="0"/>
        <v/>
      </c>
      <c r="AE9" s="4" t="str">
        <f t="shared" si="1"/>
        <v/>
      </c>
      <c r="AF9" s="4">
        <f t="shared" si="2"/>
        <v>100</v>
      </c>
      <c r="AG9" s="4" t="str">
        <f t="shared" si="3"/>
        <v/>
      </c>
      <c r="AH9" s="4">
        <v>2</v>
      </c>
      <c r="AI9" s="4"/>
      <c r="AJ9" s="4">
        <v>100</v>
      </c>
      <c r="AK9" s="4">
        <v>100</v>
      </c>
      <c r="AL9" s="4">
        <f t="shared" si="4"/>
        <v>75</v>
      </c>
      <c r="AM9" s="4" t="str">
        <f t="shared" si="5"/>
        <v/>
      </c>
      <c r="AN9" s="5"/>
      <c r="AO9" s="4" t="s">
        <v>405</v>
      </c>
      <c r="AP9" s="4" t="s">
        <v>434</v>
      </c>
    </row>
    <row r="10" spans="1:42" ht="69.900000000000006" customHeight="1" x14ac:dyDescent="0.3">
      <c r="A10" s="4" t="s">
        <v>435</v>
      </c>
      <c r="B10" s="4" t="s">
        <v>411</v>
      </c>
      <c r="C10" s="4" t="s">
        <v>436</v>
      </c>
      <c r="D10" s="4" t="s">
        <v>437</v>
      </c>
      <c r="E10" s="4" t="s">
        <v>211</v>
      </c>
      <c r="F10" s="4" t="s">
        <v>101</v>
      </c>
      <c r="G10" s="4" t="s">
        <v>90</v>
      </c>
      <c r="H10" s="4" t="s">
        <v>414</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c r="W10" s="6">
        <v>45772</v>
      </c>
      <c r="X10" s="6"/>
      <c r="Y10" s="6"/>
      <c r="Z10" s="6">
        <v>46096</v>
      </c>
      <c r="AA10" s="4"/>
      <c r="AB10" s="4"/>
      <c r="AC10" s="4"/>
      <c r="AD10" s="4">
        <f t="shared" si="0"/>
        <v>100</v>
      </c>
      <c r="AE10" s="4">
        <f t="shared" si="1"/>
        <v>100</v>
      </c>
      <c r="AF10" s="4">
        <f t="shared" si="2"/>
        <v>100</v>
      </c>
      <c r="AG10" s="4">
        <f t="shared" si="3"/>
        <v>100</v>
      </c>
      <c r="AH10" s="4"/>
      <c r="AI10" s="4"/>
      <c r="AJ10" s="4">
        <v>100</v>
      </c>
      <c r="AK10" s="4">
        <v>100</v>
      </c>
      <c r="AL10" s="4">
        <f t="shared" si="4"/>
        <v>100</v>
      </c>
      <c r="AM10" s="4">
        <f t="shared" si="5"/>
        <v>100</v>
      </c>
      <c r="AN10" s="5"/>
      <c r="AO10" s="4"/>
      <c r="AP10" s="4" t="s">
        <v>207</v>
      </c>
    </row>
    <row r="11" spans="1:42" ht="69.900000000000006" customHeight="1" x14ac:dyDescent="0.3">
      <c r="A11" s="4" t="s">
        <v>438</v>
      </c>
      <c r="B11" s="4" t="s">
        <v>400</v>
      </c>
      <c r="C11" s="4" t="s">
        <v>439</v>
      </c>
      <c r="D11" s="4" t="s">
        <v>440</v>
      </c>
      <c r="E11" s="4" t="s">
        <v>255</v>
      </c>
      <c r="F11" s="4" t="s">
        <v>101</v>
      </c>
      <c r="G11" s="4" t="s">
        <v>90</v>
      </c>
      <c r="H11" s="4" t="s">
        <v>414</v>
      </c>
      <c r="I11" s="5">
        <v>7862105021</v>
      </c>
      <c r="J11" s="5">
        <v>0</v>
      </c>
      <c r="K11" s="5">
        <v>7862105021</v>
      </c>
      <c r="L11" s="6">
        <v>45477</v>
      </c>
      <c r="M11" s="6">
        <v>45478</v>
      </c>
      <c r="N11" s="6">
        <v>45485</v>
      </c>
      <c r="O11" s="5">
        <v>94.7</v>
      </c>
      <c r="P11" s="5">
        <v>89.87</v>
      </c>
      <c r="Q11" s="4">
        <v>1</v>
      </c>
      <c r="R11" s="4">
        <v>1</v>
      </c>
      <c r="S11" s="6">
        <v>45471</v>
      </c>
      <c r="T11" s="6">
        <v>45539</v>
      </c>
      <c r="U11" s="6">
        <v>45609</v>
      </c>
      <c r="V11" s="6"/>
      <c r="W11" s="6">
        <v>45624</v>
      </c>
      <c r="X11" s="6"/>
      <c r="Y11" s="6"/>
      <c r="Z11" s="6">
        <v>46127</v>
      </c>
      <c r="AA11" s="4"/>
      <c r="AB11" s="4"/>
      <c r="AC11" s="4"/>
      <c r="AD11" s="4">
        <f t="shared" si="0"/>
        <v>100</v>
      </c>
      <c r="AE11" s="4">
        <f t="shared" si="1"/>
        <v>100</v>
      </c>
      <c r="AF11" s="4">
        <f t="shared" si="2"/>
        <v>100</v>
      </c>
      <c r="AG11" s="4">
        <f t="shared" si="3"/>
        <v>100</v>
      </c>
      <c r="AH11" s="4">
        <v>3</v>
      </c>
      <c r="AI11" s="4"/>
      <c r="AJ11" s="4">
        <v>100</v>
      </c>
      <c r="AK11" s="4">
        <v>100</v>
      </c>
      <c r="AL11" s="4">
        <f t="shared" si="4"/>
        <v>60</v>
      </c>
      <c r="AM11" s="4">
        <f t="shared" si="5"/>
        <v>60</v>
      </c>
      <c r="AN11" s="5"/>
      <c r="AO11" s="4"/>
      <c r="AP11" s="4" t="s">
        <v>129</v>
      </c>
    </row>
    <row r="12" spans="1:42" ht="69.900000000000006" customHeight="1" x14ac:dyDescent="0.3">
      <c r="A12" s="4" t="s">
        <v>441</v>
      </c>
      <c r="B12" s="4" t="s">
        <v>442</v>
      </c>
      <c r="C12" s="4" t="s">
        <v>443</v>
      </c>
      <c r="D12" s="4" t="s">
        <v>444</v>
      </c>
      <c r="E12" s="4" t="s">
        <v>238</v>
      </c>
      <c r="F12" s="4" t="s">
        <v>101</v>
      </c>
      <c r="G12" s="4" t="s">
        <v>90</v>
      </c>
      <c r="H12" s="4" t="s">
        <v>414</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c r="W12" s="6">
        <v>45723</v>
      </c>
      <c r="X12" s="6"/>
      <c r="Y12" s="6"/>
      <c r="Z12" s="6">
        <v>46096</v>
      </c>
      <c r="AA12" s="4"/>
      <c r="AB12" s="4"/>
      <c r="AC12" s="4"/>
      <c r="AD12" s="4">
        <f t="shared" si="0"/>
        <v>100</v>
      </c>
      <c r="AE12" s="4">
        <f t="shared" si="1"/>
        <v>100</v>
      </c>
      <c r="AF12" s="4">
        <f t="shared" si="2"/>
        <v>100</v>
      </c>
      <c r="AG12" s="4">
        <f t="shared" si="3"/>
        <v>100</v>
      </c>
      <c r="AH12" s="4">
        <v>1</v>
      </c>
      <c r="AI12" s="4"/>
      <c r="AJ12" s="4">
        <v>100</v>
      </c>
      <c r="AK12" s="4">
        <v>100</v>
      </c>
      <c r="AL12" s="4">
        <f t="shared" si="4"/>
        <v>90</v>
      </c>
      <c r="AM12" s="4">
        <f t="shared" si="5"/>
        <v>90</v>
      </c>
      <c r="AN12" s="5"/>
      <c r="AO12" s="4" t="s">
        <v>445</v>
      </c>
      <c r="AP12" s="4" t="s">
        <v>446</v>
      </c>
    </row>
    <row r="13" spans="1:42" ht="69.900000000000006" customHeight="1" x14ac:dyDescent="0.3">
      <c r="A13" s="4" t="s">
        <v>447</v>
      </c>
      <c r="B13" s="4" t="s">
        <v>400</v>
      </c>
      <c r="C13" s="4" t="s">
        <v>448</v>
      </c>
      <c r="D13" s="4" t="s">
        <v>449</v>
      </c>
      <c r="E13" s="4" t="s">
        <v>249</v>
      </c>
      <c r="F13" s="4" t="s">
        <v>101</v>
      </c>
      <c r="G13" s="4" t="s">
        <v>62</v>
      </c>
      <c r="H13" s="4" t="s">
        <v>414</v>
      </c>
      <c r="I13" s="5">
        <v>3068416428</v>
      </c>
      <c r="J13" s="5">
        <v>0</v>
      </c>
      <c r="K13" s="5">
        <v>3068416428</v>
      </c>
      <c r="L13" s="6">
        <v>45658</v>
      </c>
      <c r="M13" s="6">
        <v>45659</v>
      </c>
      <c r="N13" s="6">
        <v>45656</v>
      </c>
      <c r="O13" s="5">
        <v>99.99</v>
      </c>
      <c r="P13" s="5">
        <v>64.38</v>
      </c>
      <c r="Q13" s="4">
        <v>1</v>
      </c>
      <c r="R13" s="4">
        <v>1</v>
      </c>
      <c r="S13" s="6">
        <v>45650</v>
      </c>
      <c r="T13" s="6">
        <v>45849</v>
      </c>
      <c r="U13" s="6">
        <v>45852</v>
      </c>
      <c r="V13" s="6"/>
      <c r="W13" s="6">
        <v>45863</v>
      </c>
      <c r="X13" s="6"/>
      <c r="Y13" s="6"/>
      <c r="Z13" s="6">
        <v>46127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5"/>
      <c r="AO13" s="4"/>
      <c r="AP13" s="4" t="s">
        <v>93</v>
      </c>
    </row>
    <row r="14" spans="1:42" ht="69.900000000000006" customHeight="1" x14ac:dyDescent="0.3">
      <c r="A14" s="4" t="s">
        <v>450</v>
      </c>
      <c r="B14" s="4" t="s">
        <v>442</v>
      </c>
      <c r="C14" s="4" t="s">
        <v>451</v>
      </c>
      <c r="D14" s="4" t="s">
        <v>452</v>
      </c>
      <c r="E14" s="4" t="s">
        <v>238</v>
      </c>
      <c r="F14" s="4" t="s">
        <v>101</v>
      </c>
      <c r="G14" s="4" t="s">
        <v>90</v>
      </c>
      <c r="H14" s="4" t="s">
        <v>453</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c r="W14" s="6">
        <v>45672</v>
      </c>
      <c r="X14" s="6"/>
      <c r="Y14" s="6"/>
      <c r="Z14" s="6">
        <v>46096</v>
      </c>
      <c r="AA14" s="4"/>
      <c r="AB14" s="4"/>
      <c r="AC14" s="4"/>
      <c r="AD14" s="4">
        <f t="shared" si="0"/>
        <v>0</v>
      </c>
      <c r="AE14" s="4">
        <f t="shared" si="1"/>
        <v>0</v>
      </c>
      <c r="AF14" s="4">
        <f t="shared" si="2"/>
        <v>100</v>
      </c>
      <c r="AG14" s="4">
        <f t="shared" si="3"/>
        <v>100</v>
      </c>
      <c r="AH14" s="4">
        <v>2</v>
      </c>
      <c r="AI14" s="4"/>
      <c r="AJ14" s="4">
        <v>100</v>
      </c>
      <c r="AK14" s="4">
        <v>100</v>
      </c>
      <c r="AL14" s="4">
        <f t="shared" si="4"/>
        <v>75</v>
      </c>
      <c r="AM14" s="4">
        <f t="shared" si="5"/>
        <v>30</v>
      </c>
      <c r="AN14" s="5"/>
      <c r="AO14" s="4"/>
      <c r="AP14" s="4" t="s">
        <v>207</v>
      </c>
    </row>
    <row r="15" spans="1:42" ht="69.900000000000006" customHeight="1" x14ac:dyDescent="0.3">
      <c r="A15" s="4" t="s">
        <v>454</v>
      </c>
      <c r="B15" s="4" t="s">
        <v>400</v>
      </c>
      <c r="C15" s="4" t="s">
        <v>455</v>
      </c>
      <c r="D15" s="4" t="s">
        <v>456</v>
      </c>
      <c r="E15" s="4" t="s">
        <v>255</v>
      </c>
      <c r="F15" s="4" t="s">
        <v>101</v>
      </c>
      <c r="G15" s="4" t="s">
        <v>90</v>
      </c>
      <c r="H15" s="4" t="s">
        <v>414</v>
      </c>
      <c r="I15" s="5">
        <v>11318403530.17</v>
      </c>
      <c r="J15" s="5">
        <v>0</v>
      </c>
      <c r="K15" s="5">
        <v>11318403530.17</v>
      </c>
      <c r="L15" s="6">
        <v>45822</v>
      </c>
      <c r="M15" s="6">
        <v>45823</v>
      </c>
      <c r="N15" s="6">
        <v>45825</v>
      </c>
      <c r="O15" s="5">
        <v>19.2</v>
      </c>
      <c r="P15" s="5">
        <v>40</v>
      </c>
      <c r="Q15" s="4">
        <v>1</v>
      </c>
      <c r="R15" s="4">
        <v>1.06</v>
      </c>
      <c r="S15" s="6">
        <v>45818</v>
      </c>
      <c r="T15" s="6">
        <v>45926</v>
      </c>
      <c r="U15" s="6">
        <v>45981</v>
      </c>
      <c r="V15" s="6"/>
      <c r="W15" s="6">
        <v>46030</v>
      </c>
      <c r="X15" s="6"/>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5"/>
      <c r="AO15" s="4"/>
      <c r="AP15" s="4" t="s">
        <v>457</v>
      </c>
    </row>
    <row r="16" spans="1:42" ht="69.900000000000006" customHeight="1" x14ac:dyDescent="0.3">
      <c r="A16" s="4" t="s">
        <v>458</v>
      </c>
      <c r="B16" s="4" t="s">
        <v>442</v>
      </c>
      <c r="C16" s="4" t="s">
        <v>459</v>
      </c>
      <c r="D16" s="4" t="s">
        <v>460</v>
      </c>
      <c r="E16" s="4" t="s">
        <v>238</v>
      </c>
      <c r="F16" s="4" t="s">
        <v>205</v>
      </c>
      <c r="G16" s="4" t="s">
        <v>317</v>
      </c>
      <c r="H16" s="4" t="s">
        <v>453</v>
      </c>
      <c r="I16" s="5">
        <v>1903272161</v>
      </c>
      <c r="J16" s="5">
        <v>0</v>
      </c>
      <c r="K16" s="5">
        <v>1903272161</v>
      </c>
      <c r="L16" s="6">
        <v>45789</v>
      </c>
      <c r="M16" s="6">
        <v>45790</v>
      </c>
      <c r="N16" s="6">
        <v>45803</v>
      </c>
      <c r="O16" s="5">
        <v>0</v>
      </c>
      <c r="P16" s="5">
        <v>0</v>
      </c>
      <c r="Q16" s="4"/>
      <c r="R16" s="4"/>
      <c r="S16" s="6">
        <v>45785</v>
      </c>
      <c r="T16" s="6">
        <v>45838</v>
      </c>
      <c r="U16" s="6">
        <v>46058</v>
      </c>
      <c r="V16" s="6">
        <v>46058</v>
      </c>
      <c r="W16" s="6"/>
      <c r="X16" s="6"/>
      <c r="Y16" s="6"/>
      <c r="Z16" s="6">
        <v>46096</v>
      </c>
      <c r="AA16" s="4"/>
      <c r="AB16" s="4"/>
      <c r="AC16" s="4">
        <v>38</v>
      </c>
      <c r="AD16" s="4" t="str">
        <f t="shared" si="0"/>
        <v/>
      </c>
      <c r="AE16" s="4" t="str">
        <f t="shared" si="1"/>
        <v/>
      </c>
      <c r="AF16" s="4">
        <f t="shared" si="2"/>
        <v>100</v>
      </c>
      <c r="AG16" s="4" t="str">
        <f t="shared" si="3"/>
        <v/>
      </c>
      <c r="AH16" s="4"/>
      <c r="AI16" s="4">
        <v>75.862068965517238</v>
      </c>
      <c r="AJ16" s="4">
        <v>100</v>
      </c>
      <c r="AK16" s="4">
        <v>100</v>
      </c>
      <c r="AL16" s="4">
        <f t="shared" si="4"/>
        <v>100</v>
      </c>
      <c r="AM16" s="4">
        <f t="shared" si="5"/>
        <v>0</v>
      </c>
      <c r="AN16" s="5"/>
      <c r="AO16" s="4"/>
      <c r="AP16" s="4" t="s">
        <v>292</v>
      </c>
    </row>
    <row r="17" spans="1:42" ht="69.900000000000006" customHeight="1" x14ac:dyDescent="0.3">
      <c r="A17" s="4" t="s">
        <v>461</v>
      </c>
      <c r="B17" s="4" t="s">
        <v>442</v>
      </c>
      <c r="C17" s="4" t="s">
        <v>462</v>
      </c>
      <c r="D17" s="4" t="s">
        <v>463</v>
      </c>
      <c r="E17" s="4" t="s">
        <v>238</v>
      </c>
      <c r="F17" s="4" t="s">
        <v>205</v>
      </c>
      <c r="G17" s="4" t="s">
        <v>90</v>
      </c>
      <c r="H17" s="4" t="s">
        <v>453</v>
      </c>
      <c r="I17" s="5">
        <v>1484402616</v>
      </c>
      <c r="J17" s="5">
        <v>400000000</v>
      </c>
      <c r="K17" s="5">
        <v>1884402616</v>
      </c>
      <c r="L17" s="6"/>
      <c r="M17" s="6"/>
      <c r="N17" s="6">
        <v>45803</v>
      </c>
      <c r="O17" s="5">
        <v>9.6000000000000002E-2</v>
      </c>
      <c r="P17" s="5">
        <v>22.11</v>
      </c>
      <c r="Q17" s="4"/>
      <c r="R17" s="4"/>
      <c r="S17" s="6">
        <v>45796</v>
      </c>
      <c r="T17" s="6">
        <v>45947</v>
      </c>
      <c r="U17" s="6">
        <v>46112</v>
      </c>
      <c r="V17" s="6"/>
      <c r="W17" s="6">
        <v>46120</v>
      </c>
      <c r="X17" s="6"/>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5"/>
      <c r="AO17" s="4"/>
      <c r="AP17" s="4" t="s">
        <v>464</v>
      </c>
    </row>
    <row r="18" spans="1:42" ht="69.900000000000006" customHeight="1" x14ac:dyDescent="0.3">
      <c r="A18" s="4" t="s">
        <v>465</v>
      </c>
      <c r="B18" s="4" t="s">
        <v>400</v>
      </c>
      <c r="C18" s="4" t="s">
        <v>466</v>
      </c>
      <c r="D18" s="4" t="s">
        <v>467</v>
      </c>
      <c r="E18" s="4" t="s">
        <v>255</v>
      </c>
      <c r="F18" s="4" t="s">
        <v>468</v>
      </c>
      <c r="G18" s="4" t="s">
        <v>300</v>
      </c>
      <c r="H18" s="4" t="s">
        <v>469</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5"/>
      <c r="AO18" s="4"/>
      <c r="AP18" s="4" t="s">
        <v>470</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4"/>
  <sheetViews>
    <sheetView workbookViewId="0">
      <selection activeCell="N3" sqref="N3"/>
    </sheetView>
  </sheetViews>
  <sheetFormatPr baseColWidth="10" defaultColWidth="9.109375" defaultRowHeight="14.4" x14ac:dyDescent="0.3"/>
  <cols>
    <col min="1" max="2" width="25.6640625" customWidth="1"/>
    <col min="3" max="3" width="36" customWidth="1"/>
    <col min="4" max="19" width="25.6640625" customWidth="1"/>
  </cols>
  <sheetData>
    <row r="1" spans="1:19" ht="39.9" customHeight="1" x14ac:dyDescent="0.3">
      <c r="A1" s="9" t="s">
        <v>0</v>
      </c>
      <c r="B1" s="9"/>
      <c r="C1" s="9"/>
      <c r="D1" s="9"/>
      <c r="E1" s="9"/>
      <c r="F1" s="9"/>
      <c r="G1" s="9"/>
      <c r="H1" s="9"/>
      <c r="I1" s="9"/>
      <c r="J1" s="9"/>
      <c r="K1" s="9"/>
      <c r="L1" s="9"/>
      <c r="M1" s="9"/>
      <c r="N1" s="9"/>
      <c r="O1" s="9"/>
      <c r="P1" s="9"/>
      <c r="Q1" s="9"/>
      <c r="R1" s="9"/>
      <c r="S1" s="9"/>
    </row>
    <row r="2" spans="1:19" ht="69.900000000000006" customHeight="1" x14ac:dyDescent="0.3">
      <c r="A2" s="1" t="s">
        <v>3</v>
      </c>
      <c r="B2" s="1" t="s">
        <v>393</v>
      </c>
      <c r="C2" s="1" t="s">
        <v>394</v>
      </c>
      <c r="D2" s="1" t="s">
        <v>395</v>
      </c>
      <c r="E2" s="1" t="s">
        <v>7</v>
      </c>
      <c r="F2" s="1" t="s">
        <v>396</v>
      </c>
      <c r="G2" s="1" t="s">
        <v>9</v>
      </c>
      <c r="H2" s="1" t="s">
        <v>10</v>
      </c>
      <c r="I2" s="1" t="s">
        <v>13</v>
      </c>
      <c r="J2" s="1" t="s">
        <v>15</v>
      </c>
      <c r="K2" s="1" t="s">
        <v>397</v>
      </c>
      <c r="L2" s="1" t="s">
        <v>27</v>
      </c>
      <c r="M2" s="1" t="s">
        <v>21</v>
      </c>
      <c r="N2" s="1" t="s">
        <v>22</v>
      </c>
      <c r="O2" s="1" t="s">
        <v>31</v>
      </c>
      <c r="P2" s="1" t="s">
        <v>398</v>
      </c>
      <c r="Q2" s="1" t="s">
        <v>24</v>
      </c>
      <c r="R2" s="1" t="s">
        <v>471</v>
      </c>
      <c r="S2" s="3" t="s">
        <v>55</v>
      </c>
    </row>
    <row r="3" spans="1:19" ht="69.900000000000006" customHeight="1" x14ac:dyDescent="0.3">
      <c r="A3" s="4" t="s">
        <v>472</v>
      </c>
      <c r="B3" s="4" t="s">
        <v>473</v>
      </c>
      <c r="C3" s="4" t="s">
        <v>474</v>
      </c>
      <c r="D3" s="4" t="s">
        <v>475</v>
      </c>
      <c r="E3" s="4" t="s">
        <v>98</v>
      </c>
      <c r="F3" s="4" t="s">
        <v>65</v>
      </c>
      <c r="G3" s="4" t="s">
        <v>62</v>
      </c>
      <c r="H3" s="4" t="s">
        <v>476</v>
      </c>
      <c r="I3" s="5">
        <v>22526692745</v>
      </c>
      <c r="J3" s="5">
        <v>0</v>
      </c>
      <c r="K3" s="5">
        <v>22526692745</v>
      </c>
      <c r="L3" s="6">
        <v>41201</v>
      </c>
      <c r="M3" s="6"/>
      <c r="N3" s="6">
        <v>41829</v>
      </c>
      <c r="O3" s="6">
        <v>42072</v>
      </c>
      <c r="P3" s="5">
        <v>100</v>
      </c>
      <c r="Q3" s="5">
        <v>99.82</v>
      </c>
      <c r="R3" s="4"/>
      <c r="S3" s="4" t="s">
        <v>477</v>
      </c>
    </row>
    <row r="4" spans="1:19" ht="69.900000000000006" customHeight="1" x14ac:dyDescent="0.3">
      <c r="A4" s="4" t="s">
        <v>478</v>
      </c>
      <c r="B4" s="4" t="s">
        <v>479</v>
      </c>
      <c r="C4" s="4" t="s">
        <v>480</v>
      </c>
      <c r="D4" s="4" t="s">
        <v>481</v>
      </c>
      <c r="E4" s="4" t="s">
        <v>98</v>
      </c>
      <c r="F4" s="4" t="s">
        <v>205</v>
      </c>
      <c r="G4" s="4" t="s">
        <v>62</v>
      </c>
      <c r="H4" s="4" t="s">
        <v>404</v>
      </c>
      <c r="I4" s="5">
        <v>924979909</v>
      </c>
      <c r="J4" s="5">
        <v>30000000</v>
      </c>
      <c r="K4" s="5">
        <v>954979909</v>
      </c>
      <c r="L4" s="6">
        <v>41191</v>
      </c>
      <c r="M4" s="6"/>
      <c r="N4" s="6">
        <v>41304</v>
      </c>
      <c r="O4" s="6">
        <v>41452</v>
      </c>
      <c r="P4" s="5">
        <v>100</v>
      </c>
      <c r="Q4" s="5">
        <v>0</v>
      </c>
      <c r="R4" s="4"/>
      <c r="S4" s="4" t="s">
        <v>482</v>
      </c>
    </row>
    <row r="5" spans="1:19" ht="69.900000000000006" customHeight="1" x14ac:dyDescent="0.3">
      <c r="A5" s="4" t="s">
        <v>483</v>
      </c>
      <c r="B5" s="4" t="s">
        <v>484</v>
      </c>
      <c r="C5" s="4" t="s">
        <v>485</v>
      </c>
      <c r="D5" s="4" t="s">
        <v>486</v>
      </c>
      <c r="E5" s="4" t="s">
        <v>98</v>
      </c>
      <c r="F5" s="4" t="s">
        <v>205</v>
      </c>
      <c r="G5" s="4" t="s">
        <v>62</v>
      </c>
      <c r="H5" s="4" t="s">
        <v>476</v>
      </c>
      <c r="I5" s="5">
        <v>999998309</v>
      </c>
      <c r="J5" s="5">
        <v>11000000</v>
      </c>
      <c r="K5" s="5">
        <v>1010998309</v>
      </c>
      <c r="L5" s="6">
        <v>41191</v>
      </c>
      <c r="M5" s="6"/>
      <c r="N5" s="6">
        <v>41276</v>
      </c>
      <c r="O5" s="6">
        <v>41355</v>
      </c>
      <c r="P5" s="5">
        <v>98.9</v>
      </c>
      <c r="Q5" s="5">
        <v>98.2</v>
      </c>
      <c r="R5" s="4"/>
      <c r="S5" s="4" t="s">
        <v>487</v>
      </c>
    </row>
    <row r="6" spans="1:19" ht="69.900000000000006" customHeight="1" x14ac:dyDescent="0.3">
      <c r="A6" s="4" t="s">
        <v>488</v>
      </c>
      <c r="B6" s="4" t="s">
        <v>489</v>
      </c>
      <c r="C6" s="4" t="s">
        <v>490</v>
      </c>
      <c r="D6" s="4" t="s">
        <v>491</v>
      </c>
      <c r="E6" s="4" t="s">
        <v>98</v>
      </c>
      <c r="F6" s="4" t="s">
        <v>65</v>
      </c>
      <c r="G6" s="4" t="s">
        <v>62</v>
      </c>
      <c r="H6" s="4" t="s">
        <v>476</v>
      </c>
      <c r="I6" s="5">
        <v>16567304387</v>
      </c>
      <c r="J6" s="5">
        <v>0</v>
      </c>
      <c r="K6" s="5">
        <v>16567304387</v>
      </c>
      <c r="L6" s="6">
        <v>41533</v>
      </c>
      <c r="M6" s="6"/>
      <c r="N6" s="6">
        <v>41537</v>
      </c>
      <c r="O6" s="6">
        <v>41669</v>
      </c>
      <c r="P6" s="5">
        <v>100</v>
      </c>
      <c r="Q6" s="5">
        <v>99.98</v>
      </c>
      <c r="R6" s="4"/>
      <c r="S6" s="4" t="s">
        <v>492</v>
      </c>
    </row>
    <row r="7" spans="1:19" ht="69.900000000000006" customHeight="1" x14ac:dyDescent="0.3">
      <c r="A7" s="4" t="s">
        <v>493</v>
      </c>
      <c r="B7" s="4" t="s">
        <v>484</v>
      </c>
      <c r="C7" s="4" t="s">
        <v>494</v>
      </c>
      <c r="D7" s="4" t="s">
        <v>495</v>
      </c>
      <c r="E7" s="4" t="s">
        <v>98</v>
      </c>
      <c r="F7" s="4" t="s">
        <v>496</v>
      </c>
      <c r="G7" s="4" t="s">
        <v>62</v>
      </c>
      <c r="H7" s="4" t="s">
        <v>404</v>
      </c>
      <c r="I7" s="5">
        <v>12429000000</v>
      </c>
      <c r="J7" s="5">
        <v>159110083</v>
      </c>
      <c r="K7" s="5">
        <v>12588110083</v>
      </c>
      <c r="L7" s="6">
        <v>41907</v>
      </c>
      <c r="M7" s="6"/>
      <c r="N7" s="6">
        <v>42821</v>
      </c>
      <c r="O7" s="6">
        <v>42226</v>
      </c>
      <c r="P7" s="5">
        <v>100</v>
      </c>
      <c r="Q7" s="5">
        <v>99.51</v>
      </c>
      <c r="R7" s="4"/>
      <c r="S7" s="4" t="s">
        <v>487</v>
      </c>
    </row>
    <row r="8" spans="1:19" ht="69.900000000000006" customHeight="1" x14ac:dyDescent="0.3">
      <c r="A8" s="4" t="s">
        <v>497</v>
      </c>
      <c r="B8" s="4" t="s">
        <v>498</v>
      </c>
      <c r="C8" s="4" t="s">
        <v>499</v>
      </c>
      <c r="D8" s="4" t="s">
        <v>500</v>
      </c>
      <c r="E8" s="4" t="s">
        <v>308</v>
      </c>
      <c r="F8" s="4" t="s">
        <v>65</v>
      </c>
      <c r="G8" s="4" t="s">
        <v>90</v>
      </c>
      <c r="H8" s="4" t="s">
        <v>420</v>
      </c>
      <c r="I8" s="5">
        <v>14996018261</v>
      </c>
      <c r="J8" s="5">
        <v>0</v>
      </c>
      <c r="K8" s="5">
        <v>14996018261</v>
      </c>
      <c r="L8" s="6">
        <v>41376</v>
      </c>
      <c r="M8" s="6"/>
      <c r="N8" s="6">
        <v>41380</v>
      </c>
      <c r="O8" s="6">
        <v>41676</v>
      </c>
      <c r="P8" s="5">
        <v>45.35</v>
      </c>
      <c r="Q8" s="5">
        <v>49.54</v>
      </c>
      <c r="R8" s="4"/>
      <c r="S8" s="4" t="s">
        <v>501</v>
      </c>
    </row>
    <row r="9" spans="1:19" ht="69.900000000000006" customHeight="1" x14ac:dyDescent="0.3">
      <c r="A9" s="4" t="s">
        <v>502</v>
      </c>
      <c r="B9" s="4" t="s">
        <v>503</v>
      </c>
      <c r="C9" s="4" t="s">
        <v>504</v>
      </c>
      <c r="D9" s="4" t="s">
        <v>505</v>
      </c>
      <c r="E9" s="4" t="s">
        <v>98</v>
      </c>
      <c r="F9" s="4" t="s">
        <v>506</v>
      </c>
      <c r="G9" s="4" t="s">
        <v>62</v>
      </c>
      <c r="H9" s="4" t="s">
        <v>414</v>
      </c>
      <c r="I9" s="5">
        <v>14913362760</v>
      </c>
      <c r="J9" s="5">
        <v>0</v>
      </c>
      <c r="K9" s="5">
        <v>14913362760</v>
      </c>
      <c r="L9" s="6">
        <v>41907</v>
      </c>
      <c r="M9" s="6"/>
      <c r="N9" s="6">
        <v>42990</v>
      </c>
      <c r="O9" s="6">
        <v>42023</v>
      </c>
      <c r="P9" s="5">
        <v>99.99</v>
      </c>
      <c r="Q9" s="5">
        <v>99.56</v>
      </c>
      <c r="R9" s="4"/>
      <c r="S9" s="4" t="s">
        <v>266</v>
      </c>
    </row>
    <row r="10" spans="1:19" ht="69.900000000000006" customHeight="1" x14ac:dyDescent="0.3">
      <c r="A10" s="4" t="s">
        <v>507</v>
      </c>
      <c r="B10" s="4" t="s">
        <v>508</v>
      </c>
      <c r="C10" s="4" t="s">
        <v>509</v>
      </c>
      <c r="D10" s="4" t="s">
        <v>510</v>
      </c>
      <c r="E10" s="4" t="s">
        <v>98</v>
      </c>
      <c r="F10" s="4" t="s">
        <v>511</v>
      </c>
      <c r="G10" s="4" t="s">
        <v>62</v>
      </c>
      <c r="H10" s="4" t="s">
        <v>404</v>
      </c>
      <c r="I10" s="5">
        <v>7037696704</v>
      </c>
      <c r="J10" s="5">
        <v>700920310</v>
      </c>
      <c r="K10" s="5">
        <v>7738617014</v>
      </c>
      <c r="L10" s="6">
        <v>41907</v>
      </c>
      <c r="M10" s="6"/>
      <c r="N10" s="6">
        <v>42006</v>
      </c>
      <c r="O10" s="6">
        <v>42060</v>
      </c>
      <c r="P10" s="5">
        <v>100</v>
      </c>
      <c r="Q10" s="5">
        <v>85.88</v>
      </c>
      <c r="R10" s="4"/>
      <c r="S10" s="4" t="s">
        <v>512</v>
      </c>
    </row>
    <row r="11" spans="1:19" ht="69.900000000000006" customHeight="1" x14ac:dyDescent="0.3">
      <c r="A11" s="4" t="s">
        <v>513</v>
      </c>
      <c r="B11" s="4" t="s">
        <v>514</v>
      </c>
      <c r="C11" s="4" t="s">
        <v>515</v>
      </c>
      <c r="D11" s="4" t="s">
        <v>516</v>
      </c>
      <c r="E11" s="4" t="s">
        <v>73</v>
      </c>
      <c r="F11" s="4" t="s">
        <v>111</v>
      </c>
      <c r="G11" s="4" t="s">
        <v>62</v>
      </c>
      <c r="H11" s="4" t="s">
        <v>404</v>
      </c>
      <c r="I11" s="5">
        <v>13800000000</v>
      </c>
      <c r="J11" s="5">
        <v>2151400000</v>
      </c>
      <c r="K11" s="5">
        <v>15951400000</v>
      </c>
      <c r="L11" s="6">
        <v>41789</v>
      </c>
      <c r="M11" s="6"/>
      <c r="N11" s="6">
        <v>44936</v>
      </c>
      <c r="O11" s="6">
        <v>42128</v>
      </c>
      <c r="P11" s="5">
        <v>95.56</v>
      </c>
      <c r="Q11" s="5">
        <v>89.9</v>
      </c>
      <c r="R11" s="4"/>
      <c r="S11" s="4" t="s">
        <v>93</v>
      </c>
    </row>
    <row r="12" spans="1:19" ht="69.900000000000006" customHeight="1" x14ac:dyDescent="0.3">
      <c r="A12" s="4" t="s">
        <v>517</v>
      </c>
      <c r="B12" s="4" t="s">
        <v>518</v>
      </c>
      <c r="C12" s="4" t="s">
        <v>519</v>
      </c>
      <c r="D12" s="4" t="s">
        <v>520</v>
      </c>
      <c r="E12" s="4" t="s">
        <v>98</v>
      </c>
      <c r="F12" s="4" t="s">
        <v>521</v>
      </c>
      <c r="G12" s="4" t="s">
        <v>62</v>
      </c>
      <c r="H12" s="4" t="s">
        <v>404</v>
      </c>
      <c r="I12" s="5">
        <v>16094650077</v>
      </c>
      <c r="J12" s="5">
        <v>312767700</v>
      </c>
      <c r="K12" s="5">
        <v>16407417777</v>
      </c>
      <c r="L12" s="6">
        <v>43389</v>
      </c>
      <c r="M12" s="6"/>
      <c r="N12" s="6">
        <v>43495</v>
      </c>
      <c r="O12" s="6">
        <v>43865</v>
      </c>
      <c r="P12" s="5">
        <v>99.69</v>
      </c>
      <c r="Q12" s="5">
        <v>97.78</v>
      </c>
      <c r="R12" s="4"/>
      <c r="S12" s="4" t="s">
        <v>68</v>
      </c>
    </row>
    <row r="13" spans="1:19" ht="69.900000000000006" customHeight="1" x14ac:dyDescent="0.3">
      <c r="A13" s="4" t="s">
        <v>522</v>
      </c>
      <c r="B13" s="4" t="s">
        <v>523</v>
      </c>
      <c r="C13" s="4" t="s">
        <v>524</v>
      </c>
      <c r="D13" s="4" t="s">
        <v>525</v>
      </c>
      <c r="E13" s="4" t="s">
        <v>98</v>
      </c>
      <c r="F13" s="4" t="s">
        <v>526</v>
      </c>
      <c r="G13" s="4" t="s">
        <v>62</v>
      </c>
      <c r="H13" s="4" t="s">
        <v>527</v>
      </c>
      <c r="I13" s="5">
        <v>54337268559</v>
      </c>
      <c r="J13" s="5">
        <v>8559008426</v>
      </c>
      <c r="K13" s="5">
        <v>62896276985</v>
      </c>
      <c r="L13" s="6">
        <v>43165</v>
      </c>
      <c r="M13" s="6"/>
      <c r="N13" s="6">
        <v>43171</v>
      </c>
      <c r="O13" s="6">
        <v>43410</v>
      </c>
      <c r="P13" s="5">
        <v>100</v>
      </c>
      <c r="Q13" s="5">
        <v>99.87</v>
      </c>
      <c r="R13" s="4"/>
      <c r="S13" s="4" t="s">
        <v>528</v>
      </c>
    </row>
    <row r="14" spans="1:19" ht="69.900000000000006" customHeight="1" x14ac:dyDescent="0.3">
      <c r="A14" s="4" t="s">
        <v>529</v>
      </c>
      <c r="B14" s="4" t="s">
        <v>530</v>
      </c>
      <c r="C14" s="4" t="s">
        <v>531</v>
      </c>
      <c r="D14" s="4" t="s">
        <v>532</v>
      </c>
      <c r="E14" s="4" t="s">
        <v>98</v>
      </c>
      <c r="F14" s="4" t="s">
        <v>533</v>
      </c>
      <c r="G14" s="4" t="s">
        <v>90</v>
      </c>
      <c r="H14" s="4" t="s">
        <v>404</v>
      </c>
      <c r="I14" s="5">
        <v>5261488233</v>
      </c>
      <c r="J14" s="5">
        <v>100000000</v>
      </c>
      <c r="K14" s="5">
        <v>5361488233</v>
      </c>
      <c r="L14" s="6">
        <v>43636</v>
      </c>
      <c r="M14" s="6"/>
      <c r="N14" s="6">
        <v>43955</v>
      </c>
      <c r="O14" s="6">
        <v>44138</v>
      </c>
      <c r="P14" s="5">
        <v>97.82</v>
      </c>
      <c r="Q14" s="5">
        <v>95.45</v>
      </c>
      <c r="R14" s="4"/>
      <c r="S14" s="4" t="s">
        <v>93</v>
      </c>
    </row>
    <row r="15" spans="1:19" ht="69.900000000000006" customHeight="1" x14ac:dyDescent="0.3">
      <c r="A15" s="4" t="s">
        <v>534</v>
      </c>
      <c r="B15" s="4" t="s">
        <v>535</v>
      </c>
      <c r="C15" s="4" t="s">
        <v>536</v>
      </c>
      <c r="D15" s="4" t="s">
        <v>537</v>
      </c>
      <c r="E15" s="4" t="s">
        <v>139</v>
      </c>
      <c r="F15" s="4" t="s">
        <v>65</v>
      </c>
      <c r="G15" s="4" t="s">
        <v>62</v>
      </c>
      <c r="H15" s="4" t="s">
        <v>404</v>
      </c>
      <c r="I15" s="5">
        <v>8077068482</v>
      </c>
      <c r="J15" s="5">
        <v>0</v>
      </c>
      <c r="K15" s="5">
        <v>8077068482</v>
      </c>
      <c r="L15" s="6">
        <v>43829</v>
      </c>
      <c r="M15" s="6"/>
      <c r="N15" s="6">
        <v>43843</v>
      </c>
      <c r="O15" s="6">
        <v>44042</v>
      </c>
      <c r="P15" s="5">
        <v>99.99</v>
      </c>
      <c r="Q15" s="5">
        <v>99.97</v>
      </c>
      <c r="R15" s="4"/>
      <c r="S15" s="4" t="s">
        <v>538</v>
      </c>
    </row>
    <row r="16" spans="1:19" ht="69.900000000000006" customHeight="1" x14ac:dyDescent="0.3">
      <c r="A16" s="4" t="s">
        <v>539</v>
      </c>
      <c r="B16" s="4" t="s">
        <v>540</v>
      </c>
      <c r="C16" s="4" t="s">
        <v>541</v>
      </c>
      <c r="D16" s="4" t="s">
        <v>542</v>
      </c>
      <c r="E16" s="4" t="s">
        <v>73</v>
      </c>
      <c r="F16" s="4" t="s">
        <v>111</v>
      </c>
      <c r="G16" s="4" t="s">
        <v>90</v>
      </c>
      <c r="H16" s="4" t="s">
        <v>414</v>
      </c>
      <c r="I16" s="5">
        <v>7750000000</v>
      </c>
      <c r="J16" s="5">
        <v>0</v>
      </c>
      <c r="K16" s="5">
        <v>7750000000</v>
      </c>
      <c r="L16" s="6">
        <v>43781</v>
      </c>
      <c r="M16" s="6"/>
      <c r="N16" s="6">
        <v>43809</v>
      </c>
      <c r="O16" s="6">
        <v>43831</v>
      </c>
      <c r="P16" s="5">
        <v>97.9</v>
      </c>
      <c r="Q16" s="5">
        <v>97.25</v>
      </c>
      <c r="R16" s="4"/>
      <c r="S16" s="4" t="s">
        <v>543</v>
      </c>
    </row>
    <row r="17" spans="1:19" ht="69.900000000000006" customHeight="1" x14ac:dyDescent="0.3">
      <c r="A17" s="4" t="s">
        <v>544</v>
      </c>
      <c r="B17" s="4" t="s">
        <v>545</v>
      </c>
      <c r="C17" s="4" t="s">
        <v>546</v>
      </c>
      <c r="D17" s="4" t="s">
        <v>547</v>
      </c>
      <c r="E17" s="4" t="s">
        <v>73</v>
      </c>
      <c r="F17" s="4" t="s">
        <v>111</v>
      </c>
      <c r="G17" s="4" t="s">
        <v>90</v>
      </c>
      <c r="H17" s="4" t="s">
        <v>453</v>
      </c>
      <c r="I17" s="5">
        <v>1027100000</v>
      </c>
      <c r="J17" s="5">
        <v>100575000</v>
      </c>
      <c r="K17" s="5">
        <v>1127675000</v>
      </c>
      <c r="L17" s="6">
        <v>43781</v>
      </c>
      <c r="M17" s="6"/>
      <c r="N17" s="6">
        <v>43948</v>
      </c>
      <c r="O17" s="6">
        <v>44223</v>
      </c>
      <c r="P17" s="5">
        <v>96.9</v>
      </c>
      <c r="Q17" s="5">
        <v>97.16</v>
      </c>
      <c r="R17" s="4"/>
      <c r="S17" s="4" t="s">
        <v>548</v>
      </c>
    </row>
    <row r="18" spans="1:19" ht="69.900000000000006" customHeight="1" x14ac:dyDescent="0.3">
      <c r="A18" s="4" t="s">
        <v>549</v>
      </c>
      <c r="B18" s="4" t="s">
        <v>550</v>
      </c>
      <c r="C18" s="4" t="s">
        <v>551</v>
      </c>
      <c r="D18" s="4" t="s">
        <v>552</v>
      </c>
      <c r="E18" s="4" t="s">
        <v>73</v>
      </c>
      <c r="F18" s="4" t="s">
        <v>111</v>
      </c>
      <c r="G18" s="4" t="s">
        <v>90</v>
      </c>
      <c r="H18" s="4" t="s">
        <v>414</v>
      </c>
      <c r="I18" s="5">
        <v>9491491960</v>
      </c>
      <c r="J18" s="5">
        <v>443750000</v>
      </c>
      <c r="K18" s="5">
        <v>9935241960</v>
      </c>
      <c r="L18" s="6">
        <v>43781</v>
      </c>
      <c r="M18" s="6"/>
      <c r="N18" s="6">
        <v>43872</v>
      </c>
      <c r="O18" s="6">
        <v>43979</v>
      </c>
      <c r="P18" s="5">
        <v>85.67</v>
      </c>
      <c r="Q18" s="5">
        <v>86.62</v>
      </c>
      <c r="R18" s="4"/>
      <c r="S18" s="4" t="s">
        <v>553</v>
      </c>
    </row>
    <row r="19" spans="1:19" ht="69.900000000000006" customHeight="1" x14ac:dyDescent="0.3">
      <c r="A19" s="4" t="s">
        <v>554</v>
      </c>
      <c r="B19" s="4" t="s">
        <v>555</v>
      </c>
      <c r="C19" s="4" t="s">
        <v>556</v>
      </c>
      <c r="D19" s="4" t="s">
        <v>557</v>
      </c>
      <c r="E19" s="4" t="s">
        <v>73</v>
      </c>
      <c r="F19" s="4" t="s">
        <v>111</v>
      </c>
      <c r="G19" s="4" t="s">
        <v>90</v>
      </c>
      <c r="H19" s="4" t="s">
        <v>414</v>
      </c>
      <c r="I19" s="5">
        <v>4024500000</v>
      </c>
      <c r="J19" s="5">
        <v>177500000</v>
      </c>
      <c r="K19" s="5">
        <v>4202000000</v>
      </c>
      <c r="L19" s="6">
        <v>43781</v>
      </c>
      <c r="M19" s="6"/>
      <c r="N19" s="6">
        <v>43812</v>
      </c>
      <c r="O19" s="6">
        <v>43958</v>
      </c>
      <c r="P19" s="5">
        <v>96.81</v>
      </c>
      <c r="Q19" s="5">
        <v>77.59</v>
      </c>
      <c r="R19" s="4"/>
      <c r="S19" s="4" t="s">
        <v>558</v>
      </c>
    </row>
    <row r="20" spans="1:19" ht="69.900000000000006" customHeight="1" x14ac:dyDescent="0.3">
      <c r="A20" s="4" t="s">
        <v>559</v>
      </c>
      <c r="B20" s="4" t="s">
        <v>560</v>
      </c>
      <c r="C20" s="4" t="s">
        <v>561</v>
      </c>
      <c r="D20" s="4" t="s">
        <v>562</v>
      </c>
      <c r="E20" s="4" t="s">
        <v>73</v>
      </c>
      <c r="F20" s="4" t="s">
        <v>76</v>
      </c>
      <c r="G20" s="4" t="s">
        <v>90</v>
      </c>
      <c r="H20" s="4" t="s">
        <v>414</v>
      </c>
      <c r="I20" s="5">
        <v>20233937500</v>
      </c>
      <c r="J20" s="5">
        <v>928127000</v>
      </c>
      <c r="K20" s="5">
        <v>21162064500</v>
      </c>
      <c r="L20" s="6">
        <v>43781</v>
      </c>
      <c r="M20" s="6"/>
      <c r="N20" s="6">
        <v>43902</v>
      </c>
      <c r="O20" s="6">
        <v>43943</v>
      </c>
      <c r="P20" s="5">
        <v>82.93</v>
      </c>
      <c r="Q20" s="5">
        <v>181.2</v>
      </c>
      <c r="R20" s="4"/>
      <c r="S20" s="4" t="s">
        <v>563</v>
      </c>
    </row>
    <row r="21" spans="1:19" ht="69.900000000000006" customHeight="1" x14ac:dyDescent="0.3">
      <c r="A21" s="4" t="s">
        <v>564</v>
      </c>
      <c r="B21" s="4" t="s">
        <v>565</v>
      </c>
      <c r="C21" s="4" t="s">
        <v>566</v>
      </c>
      <c r="D21" s="4" t="s">
        <v>567</v>
      </c>
      <c r="E21" s="4" t="s">
        <v>73</v>
      </c>
      <c r="F21" s="4" t="s">
        <v>76</v>
      </c>
      <c r="G21" s="4" t="s">
        <v>90</v>
      </c>
      <c r="H21" s="4" t="s">
        <v>414</v>
      </c>
      <c r="I21" s="5">
        <v>6524500000</v>
      </c>
      <c r="J21" s="5">
        <v>0</v>
      </c>
      <c r="K21" s="5">
        <v>6524500000</v>
      </c>
      <c r="L21" s="6">
        <v>43781</v>
      </c>
      <c r="M21" s="6"/>
      <c r="N21" s="6">
        <v>43969</v>
      </c>
      <c r="O21" s="6">
        <v>43949</v>
      </c>
      <c r="P21" s="5">
        <v>89.97</v>
      </c>
      <c r="Q21" s="5">
        <v>89.3</v>
      </c>
      <c r="R21" s="4"/>
      <c r="S21" s="4" t="s">
        <v>93</v>
      </c>
    </row>
    <row r="22" spans="1:19" ht="69.900000000000006" customHeight="1" x14ac:dyDescent="0.3">
      <c r="A22" s="4" t="s">
        <v>568</v>
      </c>
      <c r="B22" s="4" t="s">
        <v>569</v>
      </c>
      <c r="C22" s="4" t="s">
        <v>570</v>
      </c>
      <c r="D22" s="4" t="s">
        <v>571</v>
      </c>
      <c r="E22" s="4" t="s">
        <v>73</v>
      </c>
      <c r="F22" s="4" t="s">
        <v>111</v>
      </c>
      <c r="G22" s="4" t="s">
        <v>90</v>
      </c>
      <c r="H22" s="4" t="s">
        <v>414</v>
      </c>
      <c r="I22" s="5">
        <v>2500000000</v>
      </c>
      <c r="J22" s="5">
        <v>88750000</v>
      </c>
      <c r="K22" s="5">
        <v>2588750000</v>
      </c>
      <c r="L22" s="6">
        <v>43812</v>
      </c>
      <c r="M22" s="6"/>
      <c r="N22" s="6">
        <v>43902</v>
      </c>
      <c r="O22" s="6">
        <v>43938</v>
      </c>
      <c r="P22" s="5">
        <v>97.52</v>
      </c>
      <c r="Q22" s="5">
        <v>97.57</v>
      </c>
      <c r="R22" s="4"/>
      <c r="S22" s="4" t="s">
        <v>93</v>
      </c>
    </row>
    <row r="23" spans="1:19" ht="69.900000000000006" customHeight="1" x14ac:dyDescent="0.3">
      <c r="A23" s="4" t="s">
        <v>572</v>
      </c>
      <c r="B23" s="4" t="s">
        <v>573</v>
      </c>
      <c r="C23" s="4" t="s">
        <v>574</v>
      </c>
      <c r="D23" s="4" t="s">
        <v>575</v>
      </c>
      <c r="E23" s="4" t="s">
        <v>73</v>
      </c>
      <c r="F23" s="4" t="s">
        <v>111</v>
      </c>
      <c r="G23" s="4" t="s">
        <v>90</v>
      </c>
      <c r="H23" s="4" t="s">
        <v>414</v>
      </c>
      <c r="I23" s="5">
        <v>3500000000</v>
      </c>
      <c r="J23" s="5">
        <v>654449000</v>
      </c>
      <c r="K23" s="5">
        <v>4154449000</v>
      </c>
      <c r="L23" s="6">
        <v>43812</v>
      </c>
      <c r="M23" s="6"/>
      <c r="N23" s="6">
        <v>43864</v>
      </c>
      <c r="O23" s="6">
        <v>44742</v>
      </c>
      <c r="P23" s="5">
        <v>99</v>
      </c>
      <c r="Q23" s="5">
        <v>91.85</v>
      </c>
      <c r="R23" s="4"/>
      <c r="S23" s="4" t="s">
        <v>543</v>
      </c>
    </row>
    <row r="24" spans="1:19" ht="69.900000000000006" customHeight="1" x14ac:dyDescent="0.3">
      <c r="A24" s="4" t="s">
        <v>576</v>
      </c>
      <c r="B24" s="4" t="s">
        <v>577</v>
      </c>
      <c r="C24" s="4" t="s">
        <v>578</v>
      </c>
      <c r="D24" s="4" t="s">
        <v>579</v>
      </c>
      <c r="E24" s="4" t="s">
        <v>73</v>
      </c>
      <c r="F24" s="4" t="s">
        <v>111</v>
      </c>
      <c r="G24" s="4" t="s">
        <v>90</v>
      </c>
      <c r="H24" s="4" t="s">
        <v>414</v>
      </c>
      <c r="I24" s="5">
        <v>3250000000</v>
      </c>
      <c r="J24" s="5">
        <v>227139308</v>
      </c>
      <c r="K24" s="5">
        <v>3477139308</v>
      </c>
      <c r="L24" s="6">
        <v>43798</v>
      </c>
      <c r="M24" s="6"/>
      <c r="N24" s="6">
        <v>43882</v>
      </c>
      <c r="O24" s="6">
        <v>43957</v>
      </c>
      <c r="P24" s="5">
        <v>97.39</v>
      </c>
      <c r="Q24" s="5">
        <v>95.75</v>
      </c>
      <c r="R24" s="4"/>
      <c r="S24" s="4" t="s">
        <v>580</v>
      </c>
    </row>
    <row r="25" spans="1:19" ht="69.900000000000006" customHeight="1" x14ac:dyDescent="0.3">
      <c r="A25" s="4" t="s">
        <v>581</v>
      </c>
      <c r="B25" s="4" t="s">
        <v>582</v>
      </c>
      <c r="C25" s="4" t="s">
        <v>583</v>
      </c>
      <c r="D25" s="4" t="s">
        <v>584</v>
      </c>
      <c r="E25" s="4" t="s">
        <v>73</v>
      </c>
      <c r="F25" s="4" t="s">
        <v>111</v>
      </c>
      <c r="G25" s="4" t="s">
        <v>90</v>
      </c>
      <c r="H25" s="4" t="s">
        <v>414</v>
      </c>
      <c r="I25" s="5">
        <v>946000000</v>
      </c>
      <c r="J25" s="5">
        <v>44375000</v>
      </c>
      <c r="K25" s="5">
        <v>990375000</v>
      </c>
      <c r="L25" s="6">
        <v>43812</v>
      </c>
      <c r="M25" s="6"/>
      <c r="N25" s="6">
        <v>44043</v>
      </c>
      <c r="O25" s="6">
        <v>43991</v>
      </c>
      <c r="P25" s="5">
        <v>97.54</v>
      </c>
      <c r="Q25" s="5">
        <v>97.23</v>
      </c>
      <c r="R25" s="4"/>
      <c r="S25" s="4" t="s">
        <v>585</v>
      </c>
    </row>
    <row r="26" spans="1:19" ht="69.900000000000006" customHeight="1" x14ac:dyDescent="0.3">
      <c r="A26" s="4" t="s">
        <v>586</v>
      </c>
      <c r="B26" s="4" t="s">
        <v>587</v>
      </c>
      <c r="C26" s="4" t="s">
        <v>588</v>
      </c>
      <c r="D26" s="4" t="s">
        <v>589</v>
      </c>
      <c r="E26" s="4" t="s">
        <v>73</v>
      </c>
      <c r="F26" s="4" t="s">
        <v>111</v>
      </c>
      <c r="G26" s="4" t="s">
        <v>90</v>
      </c>
      <c r="H26" s="4" t="s">
        <v>414</v>
      </c>
      <c r="I26" s="5">
        <v>1943625000</v>
      </c>
      <c r="J26" s="5">
        <v>88750000</v>
      </c>
      <c r="K26" s="5">
        <v>2032375000</v>
      </c>
      <c r="L26" s="6">
        <v>43830</v>
      </c>
      <c r="M26" s="6"/>
      <c r="N26" s="6">
        <v>44025</v>
      </c>
      <c r="O26" s="6">
        <v>44046</v>
      </c>
      <c r="P26" s="5">
        <v>87.5</v>
      </c>
      <c r="Q26" s="5">
        <v>86.53</v>
      </c>
      <c r="R26" s="4"/>
      <c r="S26" s="4" t="s">
        <v>590</v>
      </c>
    </row>
    <row r="27" spans="1:19" ht="69.900000000000006" hidden="1" customHeight="1" x14ac:dyDescent="0.3">
      <c r="A27" s="4" t="s">
        <v>591</v>
      </c>
      <c r="B27" s="4" t="s">
        <v>592</v>
      </c>
      <c r="C27" s="4" t="s">
        <v>593</v>
      </c>
      <c r="D27" s="4" t="s">
        <v>594</v>
      </c>
      <c r="E27" s="4" t="s">
        <v>73</v>
      </c>
      <c r="F27" s="4" t="s">
        <v>111</v>
      </c>
      <c r="G27" s="4" t="s">
        <v>90</v>
      </c>
      <c r="H27" s="4" t="s">
        <v>414</v>
      </c>
      <c r="I27" s="5">
        <v>1999999962.27</v>
      </c>
      <c r="J27" s="5">
        <v>667064931.65999985</v>
      </c>
      <c r="K27" s="5">
        <v>2667064893.9299998</v>
      </c>
      <c r="L27" s="6">
        <v>44111</v>
      </c>
      <c r="M27" s="6"/>
      <c r="N27" s="6">
        <v>44319</v>
      </c>
      <c r="O27" s="6">
        <v>44448</v>
      </c>
      <c r="P27" s="5">
        <v>86.98</v>
      </c>
      <c r="Q27" s="5">
        <v>87.69</v>
      </c>
      <c r="R27" s="4"/>
      <c r="S27" s="4" t="s">
        <v>595</v>
      </c>
    </row>
    <row r="28" spans="1:19" ht="69.900000000000006" customHeight="1" x14ac:dyDescent="0.3">
      <c r="A28" s="4" t="s">
        <v>596</v>
      </c>
      <c r="B28" s="4" t="s">
        <v>597</v>
      </c>
      <c r="C28" s="4" t="s">
        <v>598</v>
      </c>
      <c r="D28" s="4" t="s">
        <v>599</v>
      </c>
      <c r="E28" s="4" t="s">
        <v>60</v>
      </c>
      <c r="F28" s="4" t="s">
        <v>600</v>
      </c>
      <c r="G28" s="4" t="s">
        <v>62</v>
      </c>
      <c r="H28" s="4" t="s">
        <v>404</v>
      </c>
      <c r="I28" s="5">
        <v>729826686</v>
      </c>
      <c r="J28" s="5">
        <v>465734861</v>
      </c>
      <c r="K28" s="5">
        <v>1195561547</v>
      </c>
      <c r="L28" s="6">
        <v>43825</v>
      </c>
      <c r="M28" s="6"/>
      <c r="N28" s="6">
        <v>43875</v>
      </c>
      <c r="O28" s="6">
        <v>44074</v>
      </c>
      <c r="P28" s="5">
        <v>100</v>
      </c>
      <c r="Q28" s="5">
        <v>99.24</v>
      </c>
      <c r="R28" s="4"/>
      <c r="S28" s="4" t="s">
        <v>601</v>
      </c>
    </row>
    <row r="29" spans="1:19" ht="69.900000000000006" customHeight="1" x14ac:dyDescent="0.3">
      <c r="A29" s="4" t="s">
        <v>602</v>
      </c>
      <c r="B29" s="4" t="s">
        <v>518</v>
      </c>
      <c r="C29" s="4" t="s">
        <v>603</v>
      </c>
      <c r="D29" s="4" t="s">
        <v>604</v>
      </c>
      <c r="E29" s="4" t="s">
        <v>238</v>
      </c>
      <c r="F29" s="4" t="s">
        <v>605</v>
      </c>
      <c r="G29" s="4" t="s">
        <v>62</v>
      </c>
      <c r="H29" s="4" t="s">
        <v>404</v>
      </c>
      <c r="I29" s="5">
        <v>37141732473</v>
      </c>
      <c r="J29" s="5">
        <v>0</v>
      </c>
      <c r="K29" s="5">
        <v>37141732473</v>
      </c>
      <c r="L29" s="6">
        <v>43812</v>
      </c>
      <c r="M29" s="6"/>
      <c r="N29" s="6">
        <v>43817</v>
      </c>
      <c r="O29" s="6">
        <v>44228</v>
      </c>
      <c r="P29" s="5">
        <v>99.87</v>
      </c>
      <c r="Q29" s="5">
        <v>97.75</v>
      </c>
      <c r="R29" s="4"/>
      <c r="S29" s="4" t="s">
        <v>68</v>
      </c>
    </row>
    <row r="30" spans="1:19" ht="69.900000000000006" hidden="1" customHeight="1" x14ac:dyDescent="0.3">
      <c r="A30" s="4" t="s">
        <v>606</v>
      </c>
      <c r="B30" s="4" t="s">
        <v>484</v>
      </c>
      <c r="C30" s="4" t="s">
        <v>607</v>
      </c>
      <c r="D30" s="4" t="s">
        <v>608</v>
      </c>
      <c r="E30" s="4" t="s">
        <v>98</v>
      </c>
      <c r="F30" s="4" t="s">
        <v>167</v>
      </c>
      <c r="G30" s="4" t="s">
        <v>90</v>
      </c>
      <c r="H30" s="4" t="s">
        <v>414</v>
      </c>
      <c r="I30" s="5">
        <v>22507978719</v>
      </c>
      <c r="J30" s="5">
        <v>0</v>
      </c>
      <c r="K30" s="5">
        <v>22507978719</v>
      </c>
      <c r="L30" s="6">
        <v>44536</v>
      </c>
      <c r="M30" s="6"/>
      <c r="N30" s="6">
        <v>44683</v>
      </c>
      <c r="O30" s="6">
        <v>44837</v>
      </c>
      <c r="P30" s="5">
        <v>97.89</v>
      </c>
      <c r="Q30" s="5">
        <v>93.98</v>
      </c>
      <c r="R30" s="4"/>
      <c r="S30" s="4" t="s">
        <v>487</v>
      </c>
    </row>
    <row r="31" spans="1:19" ht="69.900000000000006" hidden="1" customHeight="1" x14ac:dyDescent="0.3">
      <c r="A31" s="4" t="s">
        <v>609</v>
      </c>
      <c r="B31" s="4" t="s">
        <v>610</v>
      </c>
      <c r="C31" s="4" t="s">
        <v>611</v>
      </c>
      <c r="D31" s="4" t="s">
        <v>612</v>
      </c>
      <c r="E31" s="4" t="s">
        <v>98</v>
      </c>
      <c r="F31" s="4" t="s">
        <v>613</v>
      </c>
      <c r="G31" s="4" t="s">
        <v>109</v>
      </c>
      <c r="H31" s="4" t="s">
        <v>476</v>
      </c>
      <c r="I31" s="5">
        <v>38700180208.470001</v>
      </c>
      <c r="J31" s="5">
        <v>236000000</v>
      </c>
      <c r="K31" s="5">
        <v>38936180208.470001</v>
      </c>
      <c r="L31" s="6">
        <v>44195</v>
      </c>
      <c r="M31" s="6"/>
      <c r="N31" s="6">
        <v>44952</v>
      </c>
      <c r="O31" s="6">
        <v>44595</v>
      </c>
      <c r="P31" s="5">
        <v>100</v>
      </c>
      <c r="Q31" s="5">
        <v>100</v>
      </c>
      <c r="R31" s="4"/>
      <c r="S31" s="4" t="s">
        <v>614</v>
      </c>
    </row>
    <row r="32" spans="1:19" ht="69.900000000000006" hidden="1" customHeight="1" x14ac:dyDescent="0.3">
      <c r="A32" s="4" t="s">
        <v>615</v>
      </c>
      <c r="B32" s="4" t="s">
        <v>523</v>
      </c>
      <c r="C32" s="4" t="s">
        <v>616</v>
      </c>
      <c r="D32" s="4" t="s">
        <v>617</v>
      </c>
      <c r="E32" s="4" t="s">
        <v>98</v>
      </c>
      <c r="F32" s="4" t="s">
        <v>65</v>
      </c>
      <c r="G32" s="4" t="s">
        <v>62</v>
      </c>
      <c r="H32" s="4" t="s">
        <v>404</v>
      </c>
      <c r="I32" s="5">
        <v>75409582200</v>
      </c>
      <c r="J32" s="5">
        <v>0</v>
      </c>
      <c r="K32" s="5">
        <v>75409582200</v>
      </c>
      <c r="L32" s="6">
        <v>44195</v>
      </c>
      <c r="M32" s="6"/>
      <c r="N32" s="6">
        <v>44326</v>
      </c>
      <c r="O32" s="6">
        <v>44445</v>
      </c>
      <c r="P32" s="5">
        <v>99.33</v>
      </c>
      <c r="Q32" s="5">
        <v>99.73</v>
      </c>
      <c r="R32" s="4"/>
      <c r="S32" s="4" t="s">
        <v>618</v>
      </c>
    </row>
    <row r="33" spans="1:19" ht="69.900000000000006" customHeight="1" x14ac:dyDescent="0.3">
      <c r="A33" s="4" t="s">
        <v>619</v>
      </c>
      <c r="B33" s="4" t="s">
        <v>555</v>
      </c>
      <c r="C33" s="4" t="s">
        <v>620</v>
      </c>
      <c r="D33" s="4" t="s">
        <v>621</v>
      </c>
      <c r="E33" s="4" t="s">
        <v>73</v>
      </c>
      <c r="F33" s="4" t="s">
        <v>111</v>
      </c>
      <c r="G33" s="4" t="s">
        <v>62</v>
      </c>
      <c r="H33" s="4" t="s">
        <v>476</v>
      </c>
      <c r="I33" s="5">
        <v>1998000000</v>
      </c>
      <c r="J33" s="5">
        <v>416100000</v>
      </c>
      <c r="K33" s="5">
        <v>2414100000</v>
      </c>
      <c r="L33" s="6">
        <v>43950</v>
      </c>
      <c r="M33" s="6"/>
      <c r="N33" s="6">
        <v>44001</v>
      </c>
      <c r="O33" s="6">
        <v>44133</v>
      </c>
      <c r="P33" s="5">
        <v>100</v>
      </c>
      <c r="Q33" s="5">
        <v>100</v>
      </c>
      <c r="R33" s="4"/>
      <c r="S33" s="4" t="s">
        <v>622</v>
      </c>
    </row>
    <row r="34" spans="1:19" ht="69.900000000000006" customHeight="1" x14ac:dyDescent="0.3">
      <c r="A34" s="4" t="s">
        <v>623</v>
      </c>
      <c r="B34" s="4" t="s">
        <v>555</v>
      </c>
      <c r="C34" s="4" t="s">
        <v>624</v>
      </c>
      <c r="D34" s="4" t="s">
        <v>625</v>
      </c>
      <c r="E34" s="4" t="s">
        <v>73</v>
      </c>
      <c r="F34" s="4" t="s">
        <v>111</v>
      </c>
      <c r="G34" s="4" t="s">
        <v>62</v>
      </c>
      <c r="H34" s="4" t="s">
        <v>414</v>
      </c>
      <c r="I34" s="5">
        <v>1999306318</v>
      </c>
      <c r="J34" s="5">
        <v>1491009306.72</v>
      </c>
      <c r="K34" s="5">
        <v>3490315624.7199998</v>
      </c>
      <c r="L34" s="6">
        <v>43924</v>
      </c>
      <c r="M34" s="6"/>
      <c r="N34" s="6">
        <v>44001</v>
      </c>
      <c r="O34" s="6">
        <v>44118</v>
      </c>
      <c r="P34" s="5">
        <v>100</v>
      </c>
      <c r="Q34" s="5">
        <v>100</v>
      </c>
      <c r="R34" s="4"/>
      <c r="S34" s="4" t="s">
        <v>558</v>
      </c>
    </row>
    <row r="35" spans="1:19" ht="69.900000000000006" hidden="1" customHeight="1" x14ac:dyDescent="0.3">
      <c r="A35" s="4" t="s">
        <v>626</v>
      </c>
      <c r="B35" s="4" t="s">
        <v>627</v>
      </c>
      <c r="C35" s="4" t="s">
        <v>628</v>
      </c>
      <c r="D35" s="4" t="s">
        <v>629</v>
      </c>
      <c r="E35" s="4" t="s">
        <v>73</v>
      </c>
      <c r="F35" s="4" t="s">
        <v>111</v>
      </c>
      <c r="G35" s="4" t="s">
        <v>109</v>
      </c>
      <c r="H35" s="4" t="s">
        <v>476</v>
      </c>
      <c r="I35" s="5">
        <v>1999910691</v>
      </c>
      <c r="J35" s="5">
        <v>1839271262</v>
      </c>
      <c r="K35" s="5">
        <v>3839181953</v>
      </c>
      <c r="L35" s="6">
        <v>44078</v>
      </c>
      <c r="M35" s="6"/>
      <c r="N35" s="6">
        <v>45385</v>
      </c>
      <c r="O35" s="6">
        <v>44252</v>
      </c>
      <c r="P35" s="5">
        <v>99.9</v>
      </c>
      <c r="Q35" s="5">
        <v>100</v>
      </c>
      <c r="R35" s="4"/>
      <c r="S35" s="4" t="s">
        <v>630</v>
      </c>
    </row>
    <row r="36" spans="1:19" ht="69.900000000000006" customHeight="1" x14ac:dyDescent="0.3">
      <c r="A36" s="4" t="s">
        <v>631</v>
      </c>
      <c r="B36" s="4" t="s">
        <v>632</v>
      </c>
      <c r="C36" s="4" t="s">
        <v>633</v>
      </c>
      <c r="D36" s="4" t="s">
        <v>634</v>
      </c>
      <c r="E36" s="4" t="s">
        <v>73</v>
      </c>
      <c r="F36" s="4" t="s">
        <v>111</v>
      </c>
      <c r="G36" s="4" t="s">
        <v>90</v>
      </c>
      <c r="H36" s="4" t="s">
        <v>404</v>
      </c>
      <c r="I36" s="5">
        <v>1999433630</v>
      </c>
      <c r="J36" s="5">
        <v>931051170</v>
      </c>
      <c r="K36" s="5">
        <v>2930484800</v>
      </c>
      <c r="L36" s="6">
        <v>43924</v>
      </c>
      <c r="M36" s="6"/>
      <c r="N36" s="6">
        <v>44106</v>
      </c>
      <c r="O36" s="6">
        <v>44106</v>
      </c>
      <c r="P36" s="5">
        <v>100</v>
      </c>
      <c r="Q36" s="5">
        <v>99.14</v>
      </c>
      <c r="R36" s="4"/>
      <c r="S36" s="4" t="s">
        <v>543</v>
      </c>
    </row>
    <row r="37" spans="1:19" ht="69.900000000000006" hidden="1" customHeight="1" x14ac:dyDescent="0.3">
      <c r="A37" s="4" t="s">
        <v>635</v>
      </c>
      <c r="B37" s="4" t="s">
        <v>636</v>
      </c>
      <c r="C37" s="4" t="s">
        <v>637</v>
      </c>
      <c r="D37" s="4" t="s">
        <v>638</v>
      </c>
      <c r="E37" s="4" t="s">
        <v>73</v>
      </c>
      <c r="F37" s="4" t="s">
        <v>111</v>
      </c>
      <c r="G37" s="4" t="s">
        <v>90</v>
      </c>
      <c r="H37" s="4" t="s">
        <v>476</v>
      </c>
      <c r="I37" s="5">
        <v>1999976897</v>
      </c>
      <c r="J37" s="5">
        <v>612770516</v>
      </c>
      <c r="K37" s="5">
        <v>2612747413</v>
      </c>
      <c r="L37" s="6">
        <v>44078</v>
      </c>
      <c r="M37" s="6"/>
      <c r="N37" s="6">
        <v>44179</v>
      </c>
      <c r="O37" s="6">
        <v>44229</v>
      </c>
      <c r="P37" s="5">
        <v>65.69</v>
      </c>
      <c r="Q37" s="5">
        <v>76.930000000000007</v>
      </c>
      <c r="R37" s="4"/>
      <c r="S37" s="4" t="s">
        <v>639</v>
      </c>
    </row>
    <row r="38" spans="1:19" ht="69.900000000000006" hidden="1" customHeight="1" x14ac:dyDescent="0.3">
      <c r="A38" s="4" t="s">
        <v>640</v>
      </c>
      <c r="B38" s="4" t="s">
        <v>641</v>
      </c>
      <c r="C38" s="4" t="s">
        <v>642</v>
      </c>
      <c r="D38" s="4" t="s">
        <v>643</v>
      </c>
      <c r="E38" s="4" t="s">
        <v>73</v>
      </c>
      <c r="F38" s="4" t="s">
        <v>111</v>
      </c>
      <c r="G38" s="4" t="s">
        <v>62</v>
      </c>
      <c r="H38" s="4" t="s">
        <v>414</v>
      </c>
      <c r="I38" s="5">
        <v>1272365336</v>
      </c>
      <c r="J38" s="5">
        <v>643306000</v>
      </c>
      <c r="K38" s="5">
        <v>1915671336</v>
      </c>
      <c r="L38" s="6">
        <v>44078</v>
      </c>
      <c r="M38" s="6"/>
      <c r="N38" s="6"/>
      <c r="O38" s="6">
        <v>44421</v>
      </c>
      <c r="P38" s="5">
        <v>97.49</v>
      </c>
      <c r="Q38" s="5">
        <v>101.36</v>
      </c>
      <c r="R38" s="4"/>
      <c r="S38" s="4" t="s">
        <v>644</v>
      </c>
    </row>
    <row r="39" spans="1:19" ht="69.900000000000006" hidden="1" customHeight="1" x14ac:dyDescent="0.3">
      <c r="A39" s="4" t="s">
        <v>645</v>
      </c>
      <c r="B39" s="4" t="s">
        <v>646</v>
      </c>
      <c r="C39" s="4" t="s">
        <v>647</v>
      </c>
      <c r="D39" s="4" t="s">
        <v>648</v>
      </c>
      <c r="E39" s="4" t="s">
        <v>73</v>
      </c>
      <c r="F39" s="4" t="s">
        <v>111</v>
      </c>
      <c r="G39" s="4" t="s">
        <v>90</v>
      </c>
      <c r="H39" s="4" t="s">
        <v>476</v>
      </c>
      <c r="I39" s="5">
        <v>1999833255</v>
      </c>
      <c r="J39" s="5">
        <v>948213920</v>
      </c>
      <c r="K39" s="5">
        <v>2948047175</v>
      </c>
      <c r="L39" s="6">
        <v>44078</v>
      </c>
      <c r="M39" s="6"/>
      <c r="N39" s="6">
        <v>44113</v>
      </c>
      <c r="O39" s="6">
        <v>44408</v>
      </c>
      <c r="P39" s="5">
        <v>99.95</v>
      </c>
      <c r="Q39" s="5">
        <v>99.96</v>
      </c>
      <c r="R39" s="4"/>
      <c r="S39" s="4" t="s">
        <v>649</v>
      </c>
    </row>
    <row r="40" spans="1:19" ht="69.900000000000006" hidden="1" customHeight="1" x14ac:dyDescent="0.3">
      <c r="A40" s="4" t="s">
        <v>650</v>
      </c>
      <c r="B40" s="4" t="s">
        <v>651</v>
      </c>
      <c r="C40" s="4" t="s">
        <v>652</v>
      </c>
      <c r="D40" s="4" t="s">
        <v>653</v>
      </c>
      <c r="E40" s="4" t="s">
        <v>73</v>
      </c>
      <c r="F40" s="4" t="s">
        <v>111</v>
      </c>
      <c r="G40" s="4" t="s">
        <v>62</v>
      </c>
      <c r="H40" s="4" t="s">
        <v>476</v>
      </c>
      <c r="I40" s="5">
        <v>6559568533</v>
      </c>
      <c r="J40" s="5">
        <v>288576987</v>
      </c>
      <c r="K40" s="5">
        <v>6848145520</v>
      </c>
      <c r="L40" s="6">
        <v>44159</v>
      </c>
      <c r="M40" s="6"/>
      <c r="N40" s="6">
        <v>44337</v>
      </c>
      <c r="O40" s="6">
        <v>44410</v>
      </c>
      <c r="P40" s="5">
        <v>100</v>
      </c>
      <c r="Q40" s="5">
        <v>98.42</v>
      </c>
      <c r="R40" s="4"/>
      <c r="S40" s="4" t="s">
        <v>93</v>
      </c>
    </row>
    <row r="41" spans="1:19" ht="69.900000000000006" hidden="1" customHeight="1" x14ac:dyDescent="0.3">
      <c r="A41" s="4" t="s">
        <v>654</v>
      </c>
      <c r="B41" s="4" t="s">
        <v>627</v>
      </c>
      <c r="C41" s="4" t="s">
        <v>655</v>
      </c>
      <c r="D41" s="4" t="s">
        <v>656</v>
      </c>
      <c r="E41" s="4" t="s">
        <v>73</v>
      </c>
      <c r="F41" s="4" t="s">
        <v>111</v>
      </c>
      <c r="G41" s="4" t="s">
        <v>90</v>
      </c>
      <c r="H41" s="4" t="s">
        <v>453</v>
      </c>
      <c r="I41" s="5">
        <v>1998890586.73</v>
      </c>
      <c r="J41" s="5">
        <v>899995425.88000011</v>
      </c>
      <c r="K41" s="5">
        <v>2898886012.6100001</v>
      </c>
      <c r="L41" s="6">
        <v>44078</v>
      </c>
      <c r="M41" s="6"/>
      <c r="N41" s="6">
        <v>44386</v>
      </c>
      <c r="O41" s="6">
        <v>44335</v>
      </c>
      <c r="P41" s="5">
        <v>98.23</v>
      </c>
      <c r="Q41" s="5">
        <v>98.28</v>
      </c>
      <c r="R41" s="4"/>
      <c r="S41" s="4" t="s">
        <v>657</v>
      </c>
    </row>
    <row r="42" spans="1:19" ht="69.900000000000006" customHeight="1" x14ac:dyDescent="0.3">
      <c r="A42" s="4" t="s">
        <v>658</v>
      </c>
      <c r="B42" s="4" t="s">
        <v>636</v>
      </c>
      <c r="C42" s="4" t="s">
        <v>659</v>
      </c>
      <c r="D42" s="4" t="s">
        <v>660</v>
      </c>
      <c r="E42" s="4" t="s">
        <v>73</v>
      </c>
      <c r="F42" s="4" t="s">
        <v>111</v>
      </c>
      <c r="G42" s="4" t="s">
        <v>109</v>
      </c>
      <c r="H42" s="4" t="s">
        <v>476</v>
      </c>
      <c r="I42" s="5">
        <v>5347795060</v>
      </c>
      <c r="J42" s="5">
        <v>1233838703</v>
      </c>
      <c r="K42" s="5">
        <v>6581633763</v>
      </c>
      <c r="L42" s="6">
        <v>43966</v>
      </c>
      <c r="M42" s="6"/>
      <c r="N42" s="6">
        <v>43978</v>
      </c>
      <c r="O42" s="6">
        <v>44097</v>
      </c>
      <c r="P42" s="5">
        <v>99.17</v>
      </c>
      <c r="Q42" s="5">
        <v>99.17</v>
      </c>
      <c r="R42" s="4"/>
      <c r="S42" s="4" t="s">
        <v>93</v>
      </c>
    </row>
    <row r="43" spans="1:19" ht="69.900000000000006" hidden="1" customHeight="1" x14ac:dyDescent="0.3">
      <c r="A43" s="4" t="s">
        <v>661</v>
      </c>
      <c r="B43" s="4" t="s">
        <v>592</v>
      </c>
      <c r="C43" s="4" t="s">
        <v>662</v>
      </c>
      <c r="D43" s="4" t="s">
        <v>663</v>
      </c>
      <c r="E43" s="4" t="s">
        <v>73</v>
      </c>
      <c r="F43" s="4" t="s">
        <v>111</v>
      </c>
      <c r="G43" s="4" t="s">
        <v>90</v>
      </c>
      <c r="H43" s="4" t="s">
        <v>476</v>
      </c>
      <c r="I43" s="5">
        <v>1965295196.9400001</v>
      </c>
      <c r="J43" s="5">
        <v>2166508826.73</v>
      </c>
      <c r="K43" s="5">
        <v>4131804023.6700001</v>
      </c>
      <c r="L43" s="6">
        <v>44078</v>
      </c>
      <c r="M43" s="6"/>
      <c r="N43" s="6"/>
      <c r="O43" s="6">
        <v>44421</v>
      </c>
      <c r="P43" s="5">
        <v>96.47</v>
      </c>
      <c r="Q43" s="5">
        <v>102.12</v>
      </c>
      <c r="R43" s="4"/>
      <c r="S43" s="4"/>
    </row>
    <row r="44" spans="1:19" ht="69.900000000000006" hidden="1" customHeight="1" x14ac:dyDescent="0.3">
      <c r="A44" s="4" t="s">
        <v>664</v>
      </c>
      <c r="B44" s="4" t="s">
        <v>636</v>
      </c>
      <c r="C44" s="4" t="s">
        <v>665</v>
      </c>
      <c r="D44" s="4" t="s">
        <v>666</v>
      </c>
      <c r="E44" s="4" t="s">
        <v>73</v>
      </c>
      <c r="F44" s="4" t="s">
        <v>111</v>
      </c>
      <c r="G44" s="4" t="s">
        <v>90</v>
      </c>
      <c r="H44" s="4" t="s">
        <v>414</v>
      </c>
      <c r="I44" s="5">
        <v>8764697664</v>
      </c>
      <c r="J44" s="5">
        <v>1543666900</v>
      </c>
      <c r="K44" s="5">
        <v>10308364564</v>
      </c>
      <c r="L44" s="6">
        <v>44432</v>
      </c>
      <c r="M44" s="6"/>
      <c r="N44" s="6">
        <v>44480</v>
      </c>
      <c r="O44" s="6">
        <v>44502</v>
      </c>
      <c r="P44" s="5">
        <v>89.91</v>
      </c>
      <c r="Q44" s="5">
        <v>90.22</v>
      </c>
      <c r="R44" s="4"/>
      <c r="S44" s="4" t="s">
        <v>68</v>
      </c>
    </row>
    <row r="45" spans="1:19" ht="69.900000000000006" hidden="1" customHeight="1" x14ac:dyDescent="0.3">
      <c r="A45" s="4" t="s">
        <v>667</v>
      </c>
      <c r="B45" s="4" t="s">
        <v>668</v>
      </c>
      <c r="C45" s="4" t="s">
        <v>669</v>
      </c>
      <c r="D45" s="4" t="s">
        <v>670</v>
      </c>
      <c r="E45" s="4" t="s">
        <v>73</v>
      </c>
      <c r="F45" s="4" t="s">
        <v>111</v>
      </c>
      <c r="G45" s="4" t="s">
        <v>62</v>
      </c>
      <c r="H45" s="4" t="s">
        <v>476</v>
      </c>
      <c r="I45" s="5">
        <v>1349000868</v>
      </c>
      <c r="J45" s="5">
        <v>60240000</v>
      </c>
      <c r="K45" s="5">
        <v>1409240868</v>
      </c>
      <c r="L45" s="6">
        <v>44111</v>
      </c>
      <c r="M45" s="6"/>
      <c r="N45" s="6">
        <v>44568</v>
      </c>
      <c r="O45" s="6">
        <v>44594</v>
      </c>
      <c r="P45" s="5">
        <v>100</v>
      </c>
      <c r="Q45" s="5">
        <v>90.65</v>
      </c>
      <c r="R45" s="4"/>
      <c r="S45" s="4" t="s">
        <v>93</v>
      </c>
    </row>
    <row r="46" spans="1:19" ht="69.900000000000006" hidden="1" customHeight="1" x14ac:dyDescent="0.3">
      <c r="A46" s="4" t="s">
        <v>671</v>
      </c>
      <c r="B46" s="4" t="s">
        <v>672</v>
      </c>
      <c r="C46" s="4" t="s">
        <v>673</v>
      </c>
      <c r="D46" s="4" t="s">
        <v>674</v>
      </c>
      <c r="E46" s="4" t="s">
        <v>73</v>
      </c>
      <c r="F46" s="4" t="s">
        <v>111</v>
      </c>
      <c r="G46" s="4" t="s">
        <v>62</v>
      </c>
      <c r="H46" s="4" t="s">
        <v>476</v>
      </c>
      <c r="I46" s="5">
        <v>3106000000</v>
      </c>
      <c r="J46" s="5">
        <v>50000000</v>
      </c>
      <c r="K46" s="5">
        <v>3156000000</v>
      </c>
      <c r="L46" s="6">
        <v>44159</v>
      </c>
      <c r="M46" s="6"/>
      <c r="N46" s="6">
        <v>44235</v>
      </c>
      <c r="O46" s="6">
        <v>44327</v>
      </c>
      <c r="P46" s="5">
        <v>100</v>
      </c>
      <c r="Q46" s="5">
        <v>93.32</v>
      </c>
      <c r="R46" s="4"/>
      <c r="S46" s="4" t="s">
        <v>68</v>
      </c>
    </row>
    <row r="47" spans="1:19" ht="69.900000000000006" hidden="1" customHeight="1" x14ac:dyDescent="0.3">
      <c r="A47" s="4" t="s">
        <v>675</v>
      </c>
      <c r="B47" s="4" t="s">
        <v>573</v>
      </c>
      <c r="C47" s="4" t="s">
        <v>676</v>
      </c>
      <c r="D47" s="4" t="s">
        <v>677</v>
      </c>
      <c r="E47" s="4" t="s">
        <v>73</v>
      </c>
      <c r="F47" s="4" t="s">
        <v>111</v>
      </c>
      <c r="G47" s="4" t="s">
        <v>62</v>
      </c>
      <c r="H47" s="4" t="s">
        <v>453</v>
      </c>
      <c r="I47" s="5">
        <v>8995267958.5699997</v>
      </c>
      <c r="J47" s="5">
        <v>182146495.4899998</v>
      </c>
      <c r="K47" s="5">
        <v>9177414454.0599995</v>
      </c>
      <c r="L47" s="6">
        <v>44159</v>
      </c>
      <c r="M47" s="6"/>
      <c r="N47" s="6">
        <v>44263</v>
      </c>
      <c r="O47" s="6">
        <v>44365</v>
      </c>
      <c r="P47" s="5">
        <v>100</v>
      </c>
      <c r="Q47" s="5">
        <v>100</v>
      </c>
      <c r="R47" s="4"/>
      <c r="S47" s="4" t="s">
        <v>678</v>
      </c>
    </row>
    <row r="48" spans="1:19" ht="69.900000000000006" hidden="1" customHeight="1" x14ac:dyDescent="0.3">
      <c r="A48" s="4" t="s">
        <v>679</v>
      </c>
      <c r="B48" s="4" t="s">
        <v>680</v>
      </c>
      <c r="C48" s="4" t="s">
        <v>681</v>
      </c>
      <c r="D48" s="4" t="s">
        <v>682</v>
      </c>
      <c r="E48" s="4" t="s">
        <v>73</v>
      </c>
      <c r="F48" s="4" t="s">
        <v>111</v>
      </c>
      <c r="G48" s="4" t="s">
        <v>90</v>
      </c>
      <c r="H48" s="4" t="s">
        <v>414</v>
      </c>
      <c r="I48" s="5">
        <v>6750000000</v>
      </c>
      <c r="J48" s="5">
        <v>170233499</v>
      </c>
      <c r="K48" s="5">
        <v>6920233499</v>
      </c>
      <c r="L48" s="6">
        <v>44330</v>
      </c>
      <c r="M48" s="6"/>
      <c r="N48" s="6">
        <v>44362</v>
      </c>
      <c r="O48" s="6">
        <v>44404</v>
      </c>
      <c r="P48" s="5">
        <v>83</v>
      </c>
      <c r="Q48" s="5">
        <v>86.25</v>
      </c>
      <c r="R48" s="4"/>
      <c r="S48" s="4" t="s">
        <v>543</v>
      </c>
    </row>
    <row r="49" spans="1:19" ht="69.900000000000006" hidden="1" customHeight="1" x14ac:dyDescent="0.3">
      <c r="A49" s="4" t="s">
        <v>683</v>
      </c>
      <c r="B49" s="4" t="s">
        <v>646</v>
      </c>
      <c r="C49" s="4" t="s">
        <v>684</v>
      </c>
      <c r="D49" s="4" t="s">
        <v>685</v>
      </c>
      <c r="E49" s="4" t="s">
        <v>73</v>
      </c>
      <c r="F49" s="4" t="s">
        <v>111</v>
      </c>
      <c r="G49" s="4" t="s">
        <v>90</v>
      </c>
      <c r="H49" s="4" t="s">
        <v>476</v>
      </c>
      <c r="I49" s="5">
        <v>1998157618.8800001</v>
      </c>
      <c r="J49" s="5">
        <v>469735103.82999992</v>
      </c>
      <c r="K49" s="5">
        <v>2467892722.71</v>
      </c>
      <c r="L49" s="6">
        <v>44159</v>
      </c>
      <c r="M49" s="6"/>
      <c r="N49" s="6">
        <v>44259</v>
      </c>
      <c r="O49" s="6">
        <v>44567</v>
      </c>
      <c r="P49" s="5">
        <v>98.06</v>
      </c>
      <c r="Q49" s="5">
        <v>98.13</v>
      </c>
      <c r="R49" s="4"/>
      <c r="S49" s="4" t="s">
        <v>686</v>
      </c>
    </row>
    <row r="50" spans="1:19" ht="69.900000000000006" hidden="1" customHeight="1" x14ac:dyDescent="0.3">
      <c r="A50" s="4" t="s">
        <v>687</v>
      </c>
      <c r="B50" s="4" t="s">
        <v>555</v>
      </c>
      <c r="C50" s="4" t="s">
        <v>688</v>
      </c>
      <c r="D50" s="4" t="s">
        <v>689</v>
      </c>
      <c r="E50" s="4" t="s">
        <v>73</v>
      </c>
      <c r="F50" s="4" t="s">
        <v>111</v>
      </c>
      <c r="G50" s="4" t="s">
        <v>90</v>
      </c>
      <c r="H50" s="4" t="s">
        <v>414</v>
      </c>
      <c r="I50" s="5">
        <v>2000000000</v>
      </c>
      <c r="J50" s="5">
        <v>474185221</v>
      </c>
      <c r="K50" s="5">
        <v>2474185221</v>
      </c>
      <c r="L50" s="6">
        <v>44159</v>
      </c>
      <c r="M50" s="6"/>
      <c r="N50" s="6">
        <v>44246</v>
      </c>
      <c r="O50" s="6">
        <v>44337</v>
      </c>
      <c r="P50" s="5">
        <v>100.2</v>
      </c>
      <c r="Q50" s="5">
        <v>100</v>
      </c>
      <c r="R50" s="4"/>
      <c r="S50" s="4" t="s">
        <v>690</v>
      </c>
    </row>
    <row r="51" spans="1:19" ht="69.900000000000006" hidden="1" customHeight="1" x14ac:dyDescent="0.3">
      <c r="A51" s="4" t="s">
        <v>691</v>
      </c>
      <c r="B51" s="4" t="s">
        <v>692</v>
      </c>
      <c r="C51" s="4" t="s">
        <v>693</v>
      </c>
      <c r="D51" s="4" t="s">
        <v>694</v>
      </c>
      <c r="E51" s="4" t="s">
        <v>73</v>
      </c>
      <c r="F51" s="4" t="s">
        <v>111</v>
      </c>
      <c r="G51" s="4" t="s">
        <v>90</v>
      </c>
      <c r="H51" s="4" t="s">
        <v>414</v>
      </c>
      <c r="I51" s="5">
        <v>5335769261</v>
      </c>
      <c r="J51" s="5">
        <v>577300853</v>
      </c>
      <c r="K51" s="5">
        <v>5913070114</v>
      </c>
      <c r="L51" s="6">
        <v>44348</v>
      </c>
      <c r="M51" s="6"/>
      <c r="N51" s="6"/>
      <c r="O51" s="6">
        <v>44427</v>
      </c>
      <c r="P51" s="5">
        <v>65.84</v>
      </c>
      <c r="Q51" s="5">
        <v>65.83</v>
      </c>
      <c r="R51" s="4"/>
      <c r="S51" s="4" t="s">
        <v>553</v>
      </c>
    </row>
    <row r="52" spans="1:19" ht="69.900000000000006" hidden="1" customHeight="1" x14ac:dyDescent="0.3">
      <c r="A52" s="4" t="s">
        <v>695</v>
      </c>
      <c r="B52" s="4" t="s">
        <v>646</v>
      </c>
      <c r="C52" s="4" t="s">
        <v>696</v>
      </c>
      <c r="D52" s="4" t="s">
        <v>697</v>
      </c>
      <c r="E52" s="4" t="s">
        <v>73</v>
      </c>
      <c r="F52" s="4" t="s">
        <v>111</v>
      </c>
      <c r="G52" s="4" t="s">
        <v>90</v>
      </c>
      <c r="H52" s="4" t="s">
        <v>476</v>
      </c>
      <c r="I52" s="5">
        <v>4940449374</v>
      </c>
      <c r="J52" s="5">
        <v>263481086</v>
      </c>
      <c r="K52" s="5">
        <v>5203930460</v>
      </c>
      <c r="L52" s="6">
        <v>44432</v>
      </c>
      <c r="M52" s="6"/>
      <c r="N52" s="6">
        <v>44480</v>
      </c>
      <c r="O52" s="6">
        <v>44517</v>
      </c>
      <c r="P52" s="5">
        <v>99.7</v>
      </c>
      <c r="Q52" s="5">
        <v>99.91</v>
      </c>
      <c r="R52" s="4"/>
      <c r="S52" s="4" t="s">
        <v>698</v>
      </c>
    </row>
    <row r="53" spans="1:19" ht="69.900000000000006" hidden="1" customHeight="1" x14ac:dyDescent="0.3">
      <c r="A53" s="4" t="s">
        <v>699</v>
      </c>
      <c r="B53" s="4" t="s">
        <v>555</v>
      </c>
      <c r="C53" s="4" t="s">
        <v>700</v>
      </c>
      <c r="D53" s="4" t="s">
        <v>701</v>
      </c>
      <c r="E53" s="4" t="s">
        <v>73</v>
      </c>
      <c r="F53" s="4" t="s">
        <v>111</v>
      </c>
      <c r="G53" s="4" t="s">
        <v>62</v>
      </c>
      <c r="H53" s="4" t="s">
        <v>453</v>
      </c>
      <c r="I53" s="5">
        <v>1999924866</v>
      </c>
      <c r="J53" s="5">
        <v>1559283349</v>
      </c>
      <c r="K53" s="5">
        <v>3559208215</v>
      </c>
      <c r="L53" s="6">
        <v>44159</v>
      </c>
      <c r="M53" s="6"/>
      <c r="N53" s="6">
        <v>44246</v>
      </c>
      <c r="O53" s="6">
        <v>44341</v>
      </c>
      <c r="P53" s="5">
        <v>100.03</v>
      </c>
      <c r="Q53" s="5">
        <v>87.3</v>
      </c>
      <c r="R53" s="4"/>
      <c r="S53" s="4" t="s">
        <v>702</v>
      </c>
    </row>
    <row r="54" spans="1:19" ht="69.900000000000006" hidden="1" customHeight="1" x14ac:dyDescent="0.3">
      <c r="A54" s="4" t="s">
        <v>703</v>
      </c>
      <c r="B54" s="4" t="s">
        <v>555</v>
      </c>
      <c r="C54" s="4" t="s">
        <v>704</v>
      </c>
      <c r="D54" s="4" t="s">
        <v>705</v>
      </c>
      <c r="E54" s="4" t="s">
        <v>73</v>
      </c>
      <c r="F54" s="4" t="s">
        <v>111</v>
      </c>
      <c r="G54" s="4" t="s">
        <v>90</v>
      </c>
      <c r="H54" s="4" t="s">
        <v>414</v>
      </c>
      <c r="I54" s="5">
        <v>3591118773</v>
      </c>
      <c r="J54" s="5">
        <v>177500000</v>
      </c>
      <c r="K54" s="5">
        <v>3768618773</v>
      </c>
      <c r="L54" s="6">
        <v>44330</v>
      </c>
      <c r="M54" s="6"/>
      <c r="N54" s="6">
        <v>44393</v>
      </c>
      <c r="O54" s="6">
        <v>44418</v>
      </c>
      <c r="P54" s="5">
        <v>95.18</v>
      </c>
      <c r="Q54" s="5">
        <v>84.17</v>
      </c>
      <c r="R54" s="4"/>
      <c r="S54" s="4" t="s">
        <v>558</v>
      </c>
    </row>
    <row r="55" spans="1:19" ht="69.900000000000006" hidden="1" customHeight="1" x14ac:dyDescent="0.3">
      <c r="A55" s="4" t="s">
        <v>706</v>
      </c>
      <c r="B55" s="4" t="s">
        <v>555</v>
      </c>
      <c r="C55" s="4" t="s">
        <v>707</v>
      </c>
      <c r="D55" s="4" t="s">
        <v>708</v>
      </c>
      <c r="E55" s="4" t="s">
        <v>73</v>
      </c>
      <c r="F55" s="4" t="s">
        <v>111</v>
      </c>
      <c r="G55" s="4" t="s">
        <v>62</v>
      </c>
      <c r="H55" s="4" t="s">
        <v>414</v>
      </c>
      <c r="I55" s="5">
        <v>2000000000</v>
      </c>
      <c r="J55" s="5">
        <v>1560969376</v>
      </c>
      <c r="K55" s="5">
        <v>3560969376</v>
      </c>
      <c r="L55" s="6">
        <v>44159</v>
      </c>
      <c r="M55" s="6"/>
      <c r="N55" s="6">
        <v>44246</v>
      </c>
      <c r="O55" s="6">
        <v>44337</v>
      </c>
      <c r="P55" s="5">
        <v>100.04</v>
      </c>
      <c r="Q55" s="5">
        <v>100</v>
      </c>
      <c r="R55" s="4"/>
      <c r="S55" s="4" t="s">
        <v>709</v>
      </c>
    </row>
    <row r="56" spans="1:19" ht="69.900000000000006" hidden="1" customHeight="1" x14ac:dyDescent="0.3">
      <c r="A56" s="4" t="s">
        <v>710</v>
      </c>
      <c r="B56" s="4" t="s">
        <v>646</v>
      </c>
      <c r="C56" s="4" t="s">
        <v>711</v>
      </c>
      <c r="D56" s="4" t="s">
        <v>712</v>
      </c>
      <c r="E56" s="4" t="s">
        <v>73</v>
      </c>
      <c r="F56" s="4" t="s">
        <v>111</v>
      </c>
      <c r="G56" s="4" t="s">
        <v>90</v>
      </c>
      <c r="H56" s="4" t="s">
        <v>414</v>
      </c>
      <c r="I56" s="5">
        <v>1999112638.9200001</v>
      </c>
      <c r="J56" s="5">
        <v>857237428</v>
      </c>
      <c r="K56" s="5">
        <v>2856350066.9200001</v>
      </c>
      <c r="L56" s="6">
        <v>44159</v>
      </c>
      <c r="M56" s="6"/>
      <c r="N56" s="6">
        <v>44259</v>
      </c>
      <c r="O56" s="6">
        <v>44474</v>
      </c>
      <c r="P56" s="5">
        <v>99.08</v>
      </c>
      <c r="Q56" s="5">
        <v>99.46</v>
      </c>
      <c r="R56" s="4"/>
      <c r="S56" s="4" t="s">
        <v>713</v>
      </c>
    </row>
    <row r="57" spans="1:19" ht="69.900000000000006" hidden="1" customHeight="1" x14ac:dyDescent="0.3">
      <c r="A57" s="4" t="s">
        <v>714</v>
      </c>
      <c r="B57" s="4" t="s">
        <v>715</v>
      </c>
      <c r="C57" s="4" t="s">
        <v>716</v>
      </c>
      <c r="D57" s="4" t="s">
        <v>717</v>
      </c>
      <c r="E57" s="4" t="s">
        <v>73</v>
      </c>
      <c r="F57" s="4" t="s">
        <v>111</v>
      </c>
      <c r="G57" s="4" t="s">
        <v>90</v>
      </c>
      <c r="H57" s="4" t="s">
        <v>414</v>
      </c>
      <c r="I57" s="5">
        <v>7500000000</v>
      </c>
      <c r="J57" s="5">
        <v>0</v>
      </c>
      <c r="K57" s="5">
        <v>7500000000</v>
      </c>
      <c r="L57" s="6">
        <v>44348</v>
      </c>
      <c r="M57" s="6"/>
      <c r="N57" s="6">
        <v>44379</v>
      </c>
      <c r="O57" s="6">
        <v>44407</v>
      </c>
      <c r="P57" s="5">
        <v>58.72</v>
      </c>
      <c r="Q57" s="5">
        <v>58.7</v>
      </c>
      <c r="R57" s="4"/>
      <c r="S57" s="4" t="s">
        <v>590</v>
      </c>
    </row>
    <row r="58" spans="1:19" ht="69.900000000000006" hidden="1" customHeight="1" x14ac:dyDescent="0.3">
      <c r="A58" s="4" t="s">
        <v>718</v>
      </c>
      <c r="B58" s="4" t="s">
        <v>592</v>
      </c>
      <c r="C58" s="4" t="s">
        <v>719</v>
      </c>
      <c r="D58" s="4" t="s">
        <v>720</v>
      </c>
      <c r="E58" s="4" t="s">
        <v>73</v>
      </c>
      <c r="F58" s="4" t="s">
        <v>111</v>
      </c>
      <c r="G58" s="4" t="s">
        <v>62</v>
      </c>
      <c r="H58" s="4" t="s">
        <v>476</v>
      </c>
      <c r="I58" s="5">
        <v>1999803848</v>
      </c>
      <c r="J58" s="5">
        <v>1394426448</v>
      </c>
      <c r="K58" s="5">
        <v>3394230296</v>
      </c>
      <c r="L58" s="6">
        <v>44159</v>
      </c>
      <c r="M58" s="6"/>
      <c r="N58" s="6">
        <v>44320</v>
      </c>
      <c r="O58" s="6">
        <v>44467</v>
      </c>
      <c r="P58" s="5">
        <v>99.71</v>
      </c>
      <c r="Q58" s="5">
        <v>100.53</v>
      </c>
      <c r="R58" s="4"/>
      <c r="S58" s="4" t="s">
        <v>721</v>
      </c>
    </row>
    <row r="59" spans="1:19" ht="69.900000000000006" hidden="1" customHeight="1" x14ac:dyDescent="0.3">
      <c r="A59" s="4" t="s">
        <v>722</v>
      </c>
      <c r="B59" s="4" t="s">
        <v>627</v>
      </c>
      <c r="C59" s="4" t="s">
        <v>723</v>
      </c>
      <c r="D59" s="4" t="s">
        <v>724</v>
      </c>
      <c r="E59" s="4" t="s">
        <v>73</v>
      </c>
      <c r="F59" s="4" t="s">
        <v>111</v>
      </c>
      <c r="G59" s="4" t="s">
        <v>90</v>
      </c>
      <c r="H59" s="4" t="s">
        <v>453</v>
      </c>
      <c r="I59" s="5">
        <v>1738785560</v>
      </c>
      <c r="J59" s="5">
        <v>607572471</v>
      </c>
      <c r="K59" s="5">
        <v>2346358031</v>
      </c>
      <c r="L59" s="6">
        <v>44159</v>
      </c>
      <c r="M59" s="6"/>
      <c r="N59" s="6">
        <v>44309</v>
      </c>
      <c r="O59" s="6">
        <v>44337</v>
      </c>
      <c r="P59" s="5">
        <v>61.77</v>
      </c>
      <c r="Q59" s="5">
        <v>61.03</v>
      </c>
      <c r="R59" s="4"/>
      <c r="S59" s="4" t="s">
        <v>93</v>
      </c>
    </row>
    <row r="60" spans="1:19" ht="69.900000000000006" hidden="1" customHeight="1" x14ac:dyDescent="0.3">
      <c r="A60" s="4" t="s">
        <v>725</v>
      </c>
      <c r="B60" s="4" t="s">
        <v>555</v>
      </c>
      <c r="C60" s="4" t="s">
        <v>726</v>
      </c>
      <c r="D60" s="4" t="s">
        <v>727</v>
      </c>
      <c r="E60" s="4" t="s">
        <v>73</v>
      </c>
      <c r="F60" s="4" t="s">
        <v>111</v>
      </c>
      <c r="G60" s="4" t="s">
        <v>62</v>
      </c>
      <c r="H60" s="4" t="s">
        <v>414</v>
      </c>
      <c r="I60" s="5">
        <v>1999000000</v>
      </c>
      <c r="J60" s="5">
        <v>512000000</v>
      </c>
      <c r="K60" s="5">
        <v>2511000000</v>
      </c>
      <c r="L60" s="6">
        <v>44159</v>
      </c>
      <c r="M60" s="6"/>
      <c r="N60" s="6">
        <v>44246</v>
      </c>
      <c r="O60" s="6">
        <v>44340</v>
      </c>
      <c r="P60" s="5">
        <v>99.99</v>
      </c>
      <c r="Q60" s="5">
        <v>100</v>
      </c>
      <c r="R60" s="4"/>
      <c r="S60" s="4" t="s">
        <v>728</v>
      </c>
    </row>
    <row r="61" spans="1:19" ht="69.900000000000006" hidden="1" customHeight="1" x14ac:dyDescent="0.3">
      <c r="A61" s="4" t="s">
        <v>729</v>
      </c>
      <c r="B61" s="4" t="s">
        <v>730</v>
      </c>
      <c r="C61" s="4" t="s">
        <v>731</v>
      </c>
      <c r="D61" s="4" t="s">
        <v>732</v>
      </c>
      <c r="E61" s="4" t="s">
        <v>73</v>
      </c>
      <c r="F61" s="4" t="s">
        <v>111</v>
      </c>
      <c r="G61" s="4" t="s">
        <v>90</v>
      </c>
      <c r="H61" s="4" t="s">
        <v>414</v>
      </c>
      <c r="I61" s="5">
        <v>1775630700</v>
      </c>
      <c r="J61" s="5">
        <v>118901400</v>
      </c>
      <c r="K61" s="5">
        <v>1894532100</v>
      </c>
      <c r="L61" s="6">
        <v>44368</v>
      </c>
      <c r="M61" s="6"/>
      <c r="N61" s="6">
        <v>44924</v>
      </c>
      <c r="O61" s="6">
        <v>44456</v>
      </c>
      <c r="P61" s="5">
        <v>94.11</v>
      </c>
      <c r="Q61" s="5">
        <v>94.38</v>
      </c>
      <c r="R61" s="4"/>
      <c r="S61" s="4" t="s">
        <v>543</v>
      </c>
    </row>
    <row r="62" spans="1:19" ht="69.900000000000006" hidden="1" customHeight="1" x14ac:dyDescent="0.3">
      <c r="A62" s="4" t="s">
        <v>733</v>
      </c>
      <c r="B62" s="4" t="s">
        <v>636</v>
      </c>
      <c r="C62" s="4" t="s">
        <v>734</v>
      </c>
      <c r="D62" s="4" t="s">
        <v>735</v>
      </c>
      <c r="E62" s="4" t="s">
        <v>73</v>
      </c>
      <c r="F62" s="4" t="s">
        <v>111</v>
      </c>
      <c r="G62" s="4" t="s">
        <v>90</v>
      </c>
      <c r="H62" s="4" t="s">
        <v>414</v>
      </c>
      <c r="I62" s="5">
        <v>750000000</v>
      </c>
      <c r="J62" s="5">
        <v>168904760</v>
      </c>
      <c r="K62" s="5">
        <v>918904760</v>
      </c>
      <c r="L62" s="6">
        <v>44377</v>
      </c>
      <c r="M62" s="6"/>
      <c r="N62" s="6">
        <v>44440</v>
      </c>
      <c r="O62" s="6">
        <v>44589</v>
      </c>
      <c r="P62" s="5">
        <v>55.76</v>
      </c>
      <c r="Q62" s="5">
        <v>60.48</v>
      </c>
      <c r="R62" s="4"/>
      <c r="S62" s="4" t="s">
        <v>68</v>
      </c>
    </row>
    <row r="63" spans="1:19" ht="69.900000000000006" hidden="1" customHeight="1" x14ac:dyDescent="0.3">
      <c r="A63" s="4" t="s">
        <v>736</v>
      </c>
      <c r="B63" s="4" t="s">
        <v>737</v>
      </c>
      <c r="C63" s="4" t="s">
        <v>738</v>
      </c>
      <c r="D63" s="4" t="s">
        <v>739</v>
      </c>
      <c r="E63" s="4" t="s">
        <v>73</v>
      </c>
      <c r="F63" s="4" t="s">
        <v>111</v>
      </c>
      <c r="G63" s="4" t="s">
        <v>90</v>
      </c>
      <c r="H63" s="4" t="s">
        <v>414</v>
      </c>
      <c r="I63" s="5">
        <v>2828005287</v>
      </c>
      <c r="J63" s="5">
        <v>241611863</v>
      </c>
      <c r="K63" s="5">
        <v>3069617150</v>
      </c>
      <c r="L63" s="6">
        <v>44348</v>
      </c>
      <c r="M63" s="6"/>
      <c r="N63" s="6">
        <v>44924</v>
      </c>
      <c r="O63" s="6">
        <v>44410</v>
      </c>
      <c r="P63" s="5">
        <v>94.61</v>
      </c>
      <c r="Q63" s="5">
        <v>83.98</v>
      </c>
      <c r="R63" s="4"/>
      <c r="S63" s="4" t="s">
        <v>590</v>
      </c>
    </row>
    <row r="64" spans="1:19" ht="69.900000000000006" hidden="1" customHeight="1" x14ac:dyDescent="0.3">
      <c r="A64" s="4" t="s">
        <v>740</v>
      </c>
      <c r="B64" s="4" t="s">
        <v>479</v>
      </c>
      <c r="C64" s="4" t="s">
        <v>741</v>
      </c>
      <c r="D64" s="4" t="s">
        <v>742</v>
      </c>
      <c r="E64" s="4" t="s">
        <v>98</v>
      </c>
      <c r="F64" s="4" t="s">
        <v>743</v>
      </c>
      <c r="G64" s="4" t="s">
        <v>90</v>
      </c>
      <c r="H64" s="4" t="s">
        <v>420</v>
      </c>
      <c r="I64" s="5">
        <v>69047758069</v>
      </c>
      <c r="J64" s="5">
        <v>0</v>
      </c>
      <c r="K64" s="5">
        <v>69047758069</v>
      </c>
      <c r="L64" s="6">
        <v>44551</v>
      </c>
      <c r="M64" s="6"/>
      <c r="N64" s="6">
        <v>44652</v>
      </c>
      <c r="O64" s="6">
        <v>44810</v>
      </c>
      <c r="P64" s="5">
        <v>93.54</v>
      </c>
      <c r="Q64" s="5">
        <v>94.51</v>
      </c>
      <c r="R64" s="4"/>
      <c r="S64" s="4" t="s">
        <v>744</v>
      </c>
    </row>
    <row r="65" spans="1:19" ht="69.900000000000006" hidden="1" customHeight="1" x14ac:dyDescent="0.3">
      <c r="A65" s="4" t="s">
        <v>745</v>
      </c>
      <c r="B65" s="4" t="s">
        <v>560</v>
      </c>
      <c r="C65" s="4" t="s">
        <v>746</v>
      </c>
      <c r="D65" s="4" t="s">
        <v>747</v>
      </c>
      <c r="E65" s="4" t="s">
        <v>73</v>
      </c>
      <c r="F65" s="4" t="s">
        <v>111</v>
      </c>
      <c r="G65" s="4" t="s">
        <v>90</v>
      </c>
      <c r="H65" s="4" t="s">
        <v>414</v>
      </c>
      <c r="I65" s="5">
        <v>17635937500</v>
      </c>
      <c r="J65" s="5">
        <v>782206000</v>
      </c>
      <c r="K65" s="5">
        <v>18418143500</v>
      </c>
      <c r="L65" s="6">
        <v>44330</v>
      </c>
      <c r="M65" s="6"/>
      <c r="N65" s="6">
        <v>44365</v>
      </c>
      <c r="O65" s="6">
        <v>44438</v>
      </c>
      <c r="P65" s="5">
        <v>81.39</v>
      </c>
      <c r="Q65" s="5">
        <v>81.650000000000006</v>
      </c>
      <c r="R65" s="4"/>
      <c r="S65" s="4" t="s">
        <v>748</v>
      </c>
    </row>
    <row r="66" spans="1:19" ht="69.900000000000006" hidden="1" customHeight="1" x14ac:dyDescent="0.3">
      <c r="A66" s="4" t="s">
        <v>749</v>
      </c>
      <c r="B66" s="4" t="s">
        <v>545</v>
      </c>
      <c r="C66" s="4" t="s">
        <v>750</v>
      </c>
      <c r="D66" s="4" t="s">
        <v>751</v>
      </c>
      <c r="E66" s="4" t="s">
        <v>73</v>
      </c>
      <c r="F66" s="4" t="s">
        <v>111</v>
      </c>
      <c r="G66" s="4" t="s">
        <v>90</v>
      </c>
      <c r="H66" s="4" t="s">
        <v>414</v>
      </c>
      <c r="I66" s="5">
        <v>1309600000</v>
      </c>
      <c r="J66" s="5">
        <v>210350000</v>
      </c>
      <c r="K66" s="5">
        <v>1519950000</v>
      </c>
      <c r="L66" s="6">
        <v>44348</v>
      </c>
      <c r="M66" s="6"/>
      <c r="N66" s="6">
        <v>44924</v>
      </c>
      <c r="O66" s="6">
        <v>44466</v>
      </c>
      <c r="P66" s="5">
        <v>93.84</v>
      </c>
      <c r="Q66" s="5">
        <v>95.06</v>
      </c>
      <c r="R66" s="4"/>
      <c r="S66" s="4" t="s">
        <v>548</v>
      </c>
    </row>
    <row r="67" spans="1:19" ht="69.900000000000006" hidden="1" customHeight="1" x14ac:dyDescent="0.3">
      <c r="A67" s="4" t="s">
        <v>752</v>
      </c>
      <c r="B67" s="4" t="s">
        <v>646</v>
      </c>
      <c r="C67" s="4" t="s">
        <v>753</v>
      </c>
      <c r="D67" s="4" t="s">
        <v>754</v>
      </c>
      <c r="E67" s="4" t="s">
        <v>73</v>
      </c>
      <c r="F67" s="4" t="s">
        <v>111</v>
      </c>
      <c r="G67" s="4" t="s">
        <v>90</v>
      </c>
      <c r="H67" s="4" t="s">
        <v>414</v>
      </c>
      <c r="I67" s="5">
        <v>2750000000</v>
      </c>
      <c r="J67" s="5">
        <v>25000000</v>
      </c>
      <c r="K67" s="5">
        <v>2775000000</v>
      </c>
      <c r="L67" s="6">
        <v>44384</v>
      </c>
      <c r="M67" s="6"/>
      <c r="N67" s="6">
        <v>44429</v>
      </c>
      <c r="O67" s="6">
        <v>44530</v>
      </c>
      <c r="P67" s="5">
        <v>89.45</v>
      </c>
      <c r="Q67" s="5">
        <v>96.7</v>
      </c>
      <c r="R67" s="4"/>
      <c r="S67" s="4" t="s">
        <v>755</v>
      </c>
    </row>
    <row r="68" spans="1:19" ht="69.900000000000006" hidden="1" customHeight="1" x14ac:dyDescent="0.3">
      <c r="A68" s="4" t="s">
        <v>756</v>
      </c>
      <c r="B68" s="4" t="s">
        <v>573</v>
      </c>
      <c r="C68" s="4" t="s">
        <v>757</v>
      </c>
      <c r="D68" s="4" t="s">
        <v>758</v>
      </c>
      <c r="E68" s="4" t="s">
        <v>73</v>
      </c>
      <c r="F68" s="4" t="s">
        <v>111</v>
      </c>
      <c r="G68" s="4" t="s">
        <v>90</v>
      </c>
      <c r="H68" s="4" t="s">
        <v>414</v>
      </c>
      <c r="I68" s="5">
        <v>1500000000</v>
      </c>
      <c r="J68" s="5">
        <v>353734000</v>
      </c>
      <c r="K68" s="5">
        <v>1853734000</v>
      </c>
      <c r="L68" s="6">
        <v>44368</v>
      </c>
      <c r="M68" s="6"/>
      <c r="N68" s="6">
        <v>44368</v>
      </c>
      <c r="O68" s="6">
        <v>44433</v>
      </c>
      <c r="P68" s="5">
        <v>96.28</v>
      </c>
      <c r="Q68" s="5">
        <v>93.62</v>
      </c>
      <c r="R68" s="4"/>
      <c r="S68" s="4" t="s">
        <v>543</v>
      </c>
    </row>
    <row r="69" spans="1:19" ht="69.900000000000006" hidden="1" customHeight="1" x14ac:dyDescent="0.3">
      <c r="A69" s="4" t="s">
        <v>759</v>
      </c>
      <c r="B69" s="4" t="s">
        <v>582</v>
      </c>
      <c r="C69" s="4" t="s">
        <v>760</v>
      </c>
      <c r="D69" s="4" t="s">
        <v>761</v>
      </c>
      <c r="E69" s="4" t="s">
        <v>73</v>
      </c>
      <c r="F69" s="4" t="s">
        <v>111</v>
      </c>
      <c r="G69" s="4" t="s">
        <v>90</v>
      </c>
      <c r="H69" s="4" t="s">
        <v>414</v>
      </c>
      <c r="I69" s="5">
        <v>1411798728</v>
      </c>
      <c r="J69" s="5">
        <v>120549808</v>
      </c>
      <c r="K69" s="5">
        <v>1532348536</v>
      </c>
      <c r="L69" s="6">
        <v>44368</v>
      </c>
      <c r="M69" s="6"/>
      <c r="N69" s="6">
        <v>44925</v>
      </c>
      <c r="O69" s="6">
        <v>44407</v>
      </c>
      <c r="P69" s="5">
        <v>96.02</v>
      </c>
      <c r="Q69" s="5">
        <v>88.96</v>
      </c>
      <c r="R69" s="4"/>
      <c r="S69" s="4" t="s">
        <v>558</v>
      </c>
    </row>
    <row r="70" spans="1:19" ht="69.900000000000006" hidden="1" customHeight="1" x14ac:dyDescent="0.3">
      <c r="A70" s="4" t="s">
        <v>762</v>
      </c>
      <c r="B70" s="4" t="s">
        <v>763</v>
      </c>
      <c r="C70" s="4" t="s">
        <v>764</v>
      </c>
      <c r="D70" s="4" t="s">
        <v>765</v>
      </c>
      <c r="E70" s="4" t="s">
        <v>73</v>
      </c>
      <c r="F70" s="4" t="s">
        <v>111</v>
      </c>
      <c r="G70" s="4" t="s">
        <v>90</v>
      </c>
      <c r="H70" s="4" t="s">
        <v>414</v>
      </c>
      <c r="I70" s="5">
        <v>1999997728</v>
      </c>
      <c r="J70" s="5">
        <v>663234720</v>
      </c>
      <c r="K70" s="5">
        <v>2663232448</v>
      </c>
      <c r="L70" s="6">
        <v>44536</v>
      </c>
      <c r="M70" s="6"/>
      <c r="N70" s="6">
        <v>44533</v>
      </c>
      <c r="O70" s="6">
        <v>44713</v>
      </c>
      <c r="P70" s="5">
        <v>90.56</v>
      </c>
      <c r="Q70" s="5">
        <v>43.52</v>
      </c>
      <c r="R70" s="4"/>
      <c r="S70" s="4" t="s">
        <v>766</v>
      </c>
    </row>
    <row r="71" spans="1:19" ht="69.900000000000006" hidden="1" customHeight="1" x14ac:dyDescent="0.3">
      <c r="A71" s="4" t="s">
        <v>767</v>
      </c>
      <c r="B71" s="4" t="s">
        <v>646</v>
      </c>
      <c r="C71" s="4" t="s">
        <v>768</v>
      </c>
      <c r="D71" s="4" t="s">
        <v>769</v>
      </c>
      <c r="E71" s="4" t="s">
        <v>73</v>
      </c>
      <c r="F71" s="4" t="s">
        <v>111</v>
      </c>
      <c r="G71" s="4" t="s">
        <v>90</v>
      </c>
      <c r="H71" s="4" t="s">
        <v>476</v>
      </c>
      <c r="I71" s="5">
        <v>1999667231.96</v>
      </c>
      <c r="J71" s="5">
        <v>1036153791.2</v>
      </c>
      <c r="K71" s="5">
        <v>3035821023.1599998</v>
      </c>
      <c r="L71" s="6">
        <v>44537</v>
      </c>
      <c r="M71" s="6"/>
      <c r="N71" s="6">
        <v>44606</v>
      </c>
      <c r="O71" s="6">
        <v>44721</v>
      </c>
      <c r="P71" s="5">
        <v>91.99</v>
      </c>
      <c r="Q71" s="5">
        <v>98.96</v>
      </c>
      <c r="R71" s="4"/>
      <c r="S71" s="4" t="s">
        <v>770</v>
      </c>
    </row>
    <row r="72" spans="1:19" ht="69.900000000000006" hidden="1" customHeight="1" x14ac:dyDescent="0.3">
      <c r="A72" s="4" t="s">
        <v>771</v>
      </c>
      <c r="B72" s="4" t="s">
        <v>646</v>
      </c>
      <c r="C72" s="4" t="s">
        <v>772</v>
      </c>
      <c r="D72" s="4" t="s">
        <v>773</v>
      </c>
      <c r="E72" s="4" t="s">
        <v>73</v>
      </c>
      <c r="F72" s="4" t="s">
        <v>111</v>
      </c>
      <c r="G72" s="4" t="s">
        <v>109</v>
      </c>
      <c r="H72" s="4" t="s">
        <v>774</v>
      </c>
      <c r="I72" s="5">
        <v>2000000000</v>
      </c>
      <c r="J72" s="5">
        <v>896725569</v>
      </c>
      <c r="K72" s="5">
        <v>2896725569</v>
      </c>
      <c r="L72" s="6">
        <v>44537</v>
      </c>
      <c r="M72" s="6"/>
      <c r="N72" s="6">
        <v>44606</v>
      </c>
      <c r="O72" s="6">
        <v>44740</v>
      </c>
      <c r="P72" s="5">
        <v>100.01</v>
      </c>
      <c r="Q72" s="5">
        <v>99.66</v>
      </c>
      <c r="R72" s="4"/>
      <c r="S72" s="4" t="s">
        <v>775</v>
      </c>
    </row>
    <row r="73" spans="1:19" ht="69.900000000000006" hidden="1" customHeight="1" x14ac:dyDescent="0.3">
      <c r="A73" s="4" t="s">
        <v>776</v>
      </c>
      <c r="B73" s="4" t="s">
        <v>592</v>
      </c>
      <c r="C73" s="4" t="s">
        <v>777</v>
      </c>
      <c r="D73" s="4" t="s">
        <v>778</v>
      </c>
      <c r="E73" s="4" t="s">
        <v>73</v>
      </c>
      <c r="F73" s="4" t="s">
        <v>111</v>
      </c>
      <c r="G73" s="4" t="s">
        <v>90</v>
      </c>
      <c r="H73" s="4" t="s">
        <v>404</v>
      </c>
      <c r="I73" s="5">
        <v>1953855779</v>
      </c>
      <c r="J73" s="5">
        <v>505920337</v>
      </c>
      <c r="K73" s="5">
        <v>2459776116</v>
      </c>
      <c r="L73" s="6">
        <v>44537</v>
      </c>
      <c r="M73" s="6"/>
      <c r="N73" s="6">
        <v>44606</v>
      </c>
      <c r="O73" s="6">
        <v>44713</v>
      </c>
      <c r="P73" s="5">
        <v>98.32</v>
      </c>
      <c r="Q73" s="5">
        <v>98.46</v>
      </c>
      <c r="R73" s="4"/>
      <c r="S73" s="4" t="s">
        <v>93</v>
      </c>
    </row>
    <row r="74" spans="1:19" ht="69.900000000000006" hidden="1" customHeight="1" x14ac:dyDescent="0.3">
      <c r="A74" s="4" t="s">
        <v>779</v>
      </c>
      <c r="B74" s="4" t="s">
        <v>555</v>
      </c>
      <c r="C74" s="4" t="s">
        <v>780</v>
      </c>
      <c r="D74" s="4" t="s">
        <v>781</v>
      </c>
      <c r="E74" s="4" t="s">
        <v>73</v>
      </c>
      <c r="F74" s="4" t="s">
        <v>111</v>
      </c>
      <c r="G74" s="4" t="s">
        <v>62</v>
      </c>
      <c r="H74" s="4" t="s">
        <v>404</v>
      </c>
      <c r="I74" s="5">
        <v>4351936180</v>
      </c>
      <c r="J74" s="5">
        <v>100000000</v>
      </c>
      <c r="K74" s="5">
        <v>4451936180</v>
      </c>
      <c r="L74" s="6">
        <v>44552</v>
      </c>
      <c r="M74" s="6"/>
      <c r="N74" s="6">
        <v>44560</v>
      </c>
      <c r="O74" s="6">
        <v>44588</v>
      </c>
      <c r="P74" s="5">
        <v>100</v>
      </c>
      <c r="Q74" s="5">
        <v>99.61</v>
      </c>
      <c r="R74" s="4"/>
      <c r="S74" s="4" t="s">
        <v>68</v>
      </c>
    </row>
    <row r="75" spans="1:19" ht="69.900000000000006" hidden="1" customHeight="1" x14ac:dyDescent="0.3">
      <c r="A75" s="4" t="s">
        <v>782</v>
      </c>
      <c r="B75" s="4" t="s">
        <v>555</v>
      </c>
      <c r="C75" s="4" t="s">
        <v>783</v>
      </c>
      <c r="D75" s="4" t="s">
        <v>784</v>
      </c>
      <c r="E75" s="4" t="s">
        <v>73</v>
      </c>
      <c r="F75" s="4" t="s">
        <v>111</v>
      </c>
      <c r="G75" s="4" t="s">
        <v>62</v>
      </c>
      <c r="H75" s="4" t="s">
        <v>414</v>
      </c>
      <c r="I75" s="5">
        <v>19906880779</v>
      </c>
      <c r="J75" s="5">
        <v>72000000</v>
      </c>
      <c r="K75" s="5">
        <v>19978880779</v>
      </c>
      <c r="L75" s="6">
        <v>44700</v>
      </c>
      <c r="M75" s="6"/>
      <c r="N75" s="6">
        <v>44756</v>
      </c>
      <c r="O75" s="6">
        <v>44783</v>
      </c>
      <c r="P75" s="5">
        <v>100.01</v>
      </c>
      <c r="Q75" s="5">
        <v>99.34</v>
      </c>
      <c r="R75" s="4"/>
      <c r="S75" s="4" t="s">
        <v>785</v>
      </c>
    </row>
    <row r="76" spans="1:19" ht="69.900000000000006" hidden="1" customHeight="1" x14ac:dyDescent="0.3">
      <c r="A76" s="4" t="s">
        <v>786</v>
      </c>
      <c r="B76" s="4" t="s">
        <v>523</v>
      </c>
      <c r="C76" s="4" t="s">
        <v>787</v>
      </c>
      <c r="D76" s="4" t="s">
        <v>788</v>
      </c>
      <c r="E76" s="4" t="s">
        <v>238</v>
      </c>
      <c r="F76" s="4" t="s">
        <v>205</v>
      </c>
      <c r="G76" s="4" t="s">
        <v>62</v>
      </c>
      <c r="H76" s="4" t="s">
        <v>404</v>
      </c>
      <c r="I76" s="5">
        <v>3981132848.27</v>
      </c>
      <c r="J76" s="5">
        <v>0</v>
      </c>
      <c r="K76" s="5">
        <v>3981132848.27</v>
      </c>
      <c r="L76" s="6">
        <v>44509</v>
      </c>
      <c r="M76" s="6"/>
      <c r="N76" s="6">
        <v>44511</v>
      </c>
      <c r="O76" s="6">
        <v>44594</v>
      </c>
      <c r="P76" s="5">
        <v>100</v>
      </c>
      <c r="Q76" s="5">
        <v>99.86</v>
      </c>
      <c r="R76" s="4"/>
      <c r="S76" s="4" t="s">
        <v>789</v>
      </c>
    </row>
    <row r="77" spans="1:19" ht="69.900000000000006" hidden="1" customHeight="1" x14ac:dyDescent="0.3">
      <c r="A77" s="4" t="s">
        <v>790</v>
      </c>
      <c r="B77" s="4" t="s">
        <v>791</v>
      </c>
      <c r="C77" s="4" t="s">
        <v>792</v>
      </c>
      <c r="D77" s="4"/>
      <c r="E77" s="4" t="s">
        <v>98</v>
      </c>
      <c r="F77" s="4" t="s">
        <v>793</v>
      </c>
      <c r="G77" s="4" t="s">
        <v>300</v>
      </c>
      <c r="H77" s="4" t="s">
        <v>469</v>
      </c>
      <c r="I77" s="5">
        <v>2407058486</v>
      </c>
      <c r="J77" s="5">
        <v>216768.82000017169</v>
      </c>
      <c r="K77" s="5">
        <v>2407275254.8200002</v>
      </c>
      <c r="L77" s="6">
        <v>44844</v>
      </c>
      <c r="M77" s="6"/>
      <c r="N77" s="6"/>
      <c r="O77" s="6"/>
      <c r="P77" s="5">
        <v>0</v>
      </c>
      <c r="Q77" s="5">
        <v>0</v>
      </c>
      <c r="R77" s="4"/>
      <c r="S77" s="4" t="s">
        <v>129</v>
      </c>
    </row>
    <row r="78" spans="1:19" ht="69.900000000000006" hidden="1" customHeight="1" x14ac:dyDescent="0.3">
      <c r="A78" s="4" t="s">
        <v>794</v>
      </c>
      <c r="B78" s="4" t="s">
        <v>523</v>
      </c>
      <c r="C78" s="4" t="s">
        <v>795</v>
      </c>
      <c r="D78" s="4" t="s">
        <v>796</v>
      </c>
      <c r="E78" s="4" t="s">
        <v>98</v>
      </c>
      <c r="F78" s="4" t="s">
        <v>797</v>
      </c>
      <c r="G78" s="4" t="s">
        <v>90</v>
      </c>
      <c r="H78" s="4" t="s">
        <v>414</v>
      </c>
      <c r="I78" s="5">
        <v>45601872749</v>
      </c>
      <c r="J78" s="5">
        <v>0</v>
      </c>
      <c r="K78" s="5">
        <v>45601872749</v>
      </c>
      <c r="L78" s="6">
        <v>44560</v>
      </c>
      <c r="M78" s="6"/>
      <c r="N78" s="6">
        <v>44559</v>
      </c>
      <c r="O78" s="6">
        <v>44669</v>
      </c>
      <c r="P78" s="5">
        <v>86.14</v>
      </c>
      <c r="Q78" s="5">
        <v>92.14</v>
      </c>
      <c r="R78" s="4"/>
      <c r="S78" s="4" t="s">
        <v>789</v>
      </c>
    </row>
    <row r="79" spans="1:19" ht="69.900000000000006" hidden="1" customHeight="1" x14ac:dyDescent="0.3">
      <c r="A79" s="4" t="s">
        <v>798</v>
      </c>
      <c r="B79" s="4" t="s">
        <v>799</v>
      </c>
      <c r="C79" s="4" t="s">
        <v>800</v>
      </c>
      <c r="D79" s="4" t="s">
        <v>801</v>
      </c>
      <c r="E79" s="4" t="s">
        <v>98</v>
      </c>
      <c r="F79" s="4" t="s">
        <v>101</v>
      </c>
      <c r="G79" s="4" t="s">
        <v>62</v>
      </c>
      <c r="H79" s="4" t="s">
        <v>414</v>
      </c>
      <c r="I79" s="5">
        <v>2489078661</v>
      </c>
      <c r="J79" s="5">
        <v>0</v>
      </c>
      <c r="K79" s="5">
        <v>2489078661</v>
      </c>
      <c r="L79" s="6">
        <v>44559</v>
      </c>
      <c r="M79" s="6"/>
      <c r="N79" s="6">
        <v>44559</v>
      </c>
      <c r="O79" s="6">
        <v>44810</v>
      </c>
      <c r="P79" s="5">
        <v>100</v>
      </c>
      <c r="Q79" s="5">
        <v>99.97</v>
      </c>
      <c r="R79" s="4"/>
      <c r="S79" s="4" t="s">
        <v>93</v>
      </c>
    </row>
    <row r="80" spans="1:19" ht="69.900000000000006" hidden="1" customHeight="1" x14ac:dyDescent="0.3">
      <c r="A80" s="4" t="s">
        <v>802</v>
      </c>
      <c r="B80" s="4" t="s">
        <v>803</v>
      </c>
      <c r="C80" s="4" t="s">
        <v>804</v>
      </c>
      <c r="D80" s="4" t="s">
        <v>805</v>
      </c>
      <c r="E80" s="4" t="s">
        <v>98</v>
      </c>
      <c r="F80" s="4" t="s">
        <v>101</v>
      </c>
      <c r="G80" s="4" t="s">
        <v>90</v>
      </c>
      <c r="H80" s="4" t="s">
        <v>420</v>
      </c>
      <c r="I80" s="5">
        <v>18036167387.900002</v>
      </c>
      <c r="J80" s="5">
        <v>0</v>
      </c>
      <c r="K80" s="5">
        <v>18036167387.900002</v>
      </c>
      <c r="L80" s="6">
        <v>44559</v>
      </c>
      <c r="M80" s="6"/>
      <c r="N80" s="6"/>
      <c r="O80" s="6">
        <v>44708</v>
      </c>
      <c r="P80" s="5">
        <v>81.45</v>
      </c>
      <c r="Q80" s="5">
        <v>82.2</v>
      </c>
      <c r="R80" s="4"/>
      <c r="S80" s="4" t="s">
        <v>129</v>
      </c>
    </row>
    <row r="81" spans="1:19" ht="69.900000000000006" hidden="1" customHeight="1" x14ac:dyDescent="0.3">
      <c r="A81" s="4" t="s">
        <v>806</v>
      </c>
      <c r="B81" s="4" t="s">
        <v>799</v>
      </c>
      <c r="C81" s="4" t="s">
        <v>807</v>
      </c>
      <c r="D81" s="4" t="s">
        <v>808</v>
      </c>
      <c r="E81" s="4" t="s">
        <v>98</v>
      </c>
      <c r="F81" s="4" t="s">
        <v>167</v>
      </c>
      <c r="G81" s="4" t="s">
        <v>90</v>
      </c>
      <c r="H81" s="4" t="s">
        <v>420</v>
      </c>
      <c r="I81" s="5">
        <v>41816156185</v>
      </c>
      <c r="J81" s="5">
        <v>0</v>
      </c>
      <c r="K81" s="5">
        <v>41816156185</v>
      </c>
      <c r="L81" s="6">
        <v>44624</v>
      </c>
      <c r="M81" s="6"/>
      <c r="N81" s="6">
        <v>44624</v>
      </c>
      <c r="O81" s="6">
        <v>44873</v>
      </c>
      <c r="P81" s="5">
        <v>64.319999999999993</v>
      </c>
      <c r="Q81" s="5">
        <v>73.13</v>
      </c>
      <c r="R81" s="4"/>
      <c r="S81" s="4" t="s">
        <v>93</v>
      </c>
    </row>
    <row r="82" spans="1:19" ht="69.900000000000006" hidden="1" customHeight="1" x14ac:dyDescent="0.3">
      <c r="A82" s="4" t="s">
        <v>809</v>
      </c>
      <c r="B82" s="4" t="s">
        <v>555</v>
      </c>
      <c r="C82" s="4" t="s">
        <v>810</v>
      </c>
      <c r="D82" s="4" t="s">
        <v>811</v>
      </c>
      <c r="E82" s="4" t="s">
        <v>73</v>
      </c>
      <c r="F82" s="4" t="s">
        <v>111</v>
      </c>
      <c r="G82" s="4" t="s">
        <v>90</v>
      </c>
      <c r="H82" s="4" t="s">
        <v>414</v>
      </c>
      <c r="I82" s="5">
        <v>9606506835</v>
      </c>
      <c r="J82" s="5">
        <v>90000000</v>
      </c>
      <c r="K82" s="5">
        <v>9696506835</v>
      </c>
      <c r="L82" s="6">
        <v>44887</v>
      </c>
      <c r="M82" s="6"/>
      <c r="N82" s="6">
        <v>44911</v>
      </c>
      <c r="O82" s="6">
        <v>45070</v>
      </c>
      <c r="P82" s="5">
        <v>99.96</v>
      </c>
      <c r="Q82" s="5">
        <v>92.4</v>
      </c>
      <c r="R82" s="4"/>
      <c r="S82" s="4" t="s">
        <v>68</v>
      </c>
    </row>
    <row r="83" spans="1:19" ht="69.900000000000006" hidden="1" customHeight="1" x14ac:dyDescent="0.3">
      <c r="A83" s="4" t="s">
        <v>812</v>
      </c>
      <c r="B83" s="4" t="s">
        <v>813</v>
      </c>
      <c r="C83" s="4" t="s">
        <v>814</v>
      </c>
      <c r="D83" s="4" t="s">
        <v>815</v>
      </c>
      <c r="E83" s="4" t="s">
        <v>73</v>
      </c>
      <c r="F83" s="4" t="s">
        <v>111</v>
      </c>
      <c r="G83" s="4" t="s">
        <v>62</v>
      </c>
      <c r="H83" s="4" t="s">
        <v>476</v>
      </c>
      <c r="I83" s="5">
        <v>500000000</v>
      </c>
      <c r="J83" s="5">
        <v>85470000</v>
      </c>
      <c r="K83" s="5">
        <v>585470000</v>
      </c>
      <c r="L83" s="6">
        <v>44887</v>
      </c>
      <c r="M83" s="6"/>
      <c r="N83" s="6">
        <v>44930</v>
      </c>
      <c r="O83" s="6">
        <v>44986</v>
      </c>
      <c r="P83" s="5">
        <v>100</v>
      </c>
      <c r="Q83" s="5">
        <v>95.06</v>
      </c>
      <c r="R83" s="4"/>
      <c r="S83" s="4" t="s">
        <v>93</v>
      </c>
    </row>
    <row r="84" spans="1:19" ht="69.900000000000006" hidden="1" customHeight="1" x14ac:dyDescent="0.3">
      <c r="A84" s="4" t="s">
        <v>816</v>
      </c>
      <c r="B84" s="4" t="s">
        <v>817</v>
      </c>
      <c r="C84" s="4" t="s">
        <v>818</v>
      </c>
      <c r="D84" s="4" t="s">
        <v>819</v>
      </c>
      <c r="E84" s="4" t="s">
        <v>73</v>
      </c>
      <c r="F84" s="4" t="s">
        <v>111</v>
      </c>
      <c r="G84" s="4" t="s">
        <v>90</v>
      </c>
      <c r="H84" s="4" t="s">
        <v>414</v>
      </c>
      <c r="I84" s="5">
        <v>4299593384</v>
      </c>
      <c r="J84" s="5">
        <v>126145067</v>
      </c>
      <c r="K84" s="5">
        <v>4425738451</v>
      </c>
      <c r="L84" s="6">
        <v>44914</v>
      </c>
      <c r="M84" s="6"/>
      <c r="N84" s="6">
        <v>45055</v>
      </c>
      <c r="O84" s="6">
        <v>45139</v>
      </c>
      <c r="P84" s="5">
        <v>82.82</v>
      </c>
      <c r="Q84" s="5">
        <v>82.73</v>
      </c>
      <c r="R84" s="4"/>
      <c r="S84" s="4" t="s">
        <v>93</v>
      </c>
    </row>
    <row r="85" spans="1:19" ht="69.900000000000006" hidden="1" customHeight="1" x14ac:dyDescent="0.3">
      <c r="A85" s="4" t="s">
        <v>820</v>
      </c>
      <c r="B85" s="4" t="s">
        <v>821</v>
      </c>
      <c r="C85" s="4" t="s">
        <v>822</v>
      </c>
      <c r="D85" s="4" t="s">
        <v>823</v>
      </c>
      <c r="E85" s="4" t="s">
        <v>191</v>
      </c>
      <c r="F85" s="4" t="s">
        <v>101</v>
      </c>
      <c r="G85" s="4" t="s">
        <v>62</v>
      </c>
      <c r="H85" s="4" t="s">
        <v>404</v>
      </c>
      <c r="I85" s="5">
        <v>29623316906.279999</v>
      </c>
      <c r="J85" s="5">
        <v>0</v>
      </c>
      <c r="K85" s="5">
        <v>29623316906.279999</v>
      </c>
      <c r="L85" s="6">
        <v>44925</v>
      </c>
      <c r="M85" s="6"/>
      <c r="N85" s="6">
        <v>44952</v>
      </c>
      <c r="O85" s="6">
        <v>45030</v>
      </c>
      <c r="P85" s="5">
        <v>98.28</v>
      </c>
      <c r="Q85" s="5">
        <v>93.6</v>
      </c>
      <c r="R85" s="4"/>
      <c r="S85" s="4" t="s">
        <v>93</v>
      </c>
    </row>
    <row r="86" spans="1:19" ht="69.900000000000006" hidden="1" customHeight="1" x14ac:dyDescent="0.3">
      <c r="A86" s="4" t="s">
        <v>824</v>
      </c>
      <c r="B86" s="4" t="s">
        <v>825</v>
      </c>
      <c r="C86" s="4" t="s">
        <v>826</v>
      </c>
      <c r="D86" s="4" t="s">
        <v>827</v>
      </c>
      <c r="E86" s="4" t="s">
        <v>98</v>
      </c>
      <c r="F86" s="4" t="s">
        <v>167</v>
      </c>
      <c r="G86" s="4" t="s">
        <v>90</v>
      </c>
      <c r="H86" s="4" t="s">
        <v>420</v>
      </c>
      <c r="I86" s="5">
        <v>30461715692</v>
      </c>
      <c r="J86" s="5">
        <v>0</v>
      </c>
      <c r="K86" s="5">
        <v>30461715692</v>
      </c>
      <c r="L86" s="6">
        <v>45064</v>
      </c>
      <c r="M86" s="6"/>
      <c r="N86" s="6">
        <v>45202</v>
      </c>
      <c r="O86" s="6">
        <v>45289</v>
      </c>
      <c r="P86" s="5">
        <v>83.59</v>
      </c>
      <c r="Q86" s="5">
        <v>90.33</v>
      </c>
      <c r="R86" s="4"/>
      <c r="S86" s="4" t="s">
        <v>828</v>
      </c>
    </row>
    <row r="87" spans="1:19" ht="69.900000000000006" hidden="1" customHeight="1" x14ac:dyDescent="0.3">
      <c r="A87" s="4" t="s">
        <v>829</v>
      </c>
      <c r="B87" s="4" t="s">
        <v>830</v>
      </c>
      <c r="C87" s="4" t="s">
        <v>831</v>
      </c>
      <c r="D87" s="4" t="s">
        <v>832</v>
      </c>
      <c r="E87" s="4" t="s">
        <v>73</v>
      </c>
      <c r="F87" s="4" t="s">
        <v>111</v>
      </c>
      <c r="G87" s="4" t="s">
        <v>90</v>
      </c>
      <c r="H87" s="4" t="s">
        <v>414</v>
      </c>
      <c r="I87" s="5">
        <v>17454000000</v>
      </c>
      <c r="J87" s="5">
        <v>307000000</v>
      </c>
      <c r="K87" s="5">
        <v>17761000000</v>
      </c>
      <c r="L87" s="6">
        <v>45154</v>
      </c>
      <c r="M87" s="6"/>
      <c r="N87" s="6">
        <v>45428</v>
      </c>
      <c r="O87" s="6">
        <v>45317</v>
      </c>
      <c r="P87" s="5">
        <v>73.41</v>
      </c>
      <c r="Q87" s="5">
        <v>66.63</v>
      </c>
      <c r="R87" s="4"/>
      <c r="S87" s="4" t="s">
        <v>93</v>
      </c>
    </row>
    <row r="88" spans="1:19" ht="69.900000000000006" hidden="1" customHeight="1" x14ac:dyDescent="0.3">
      <c r="A88" s="4" t="s">
        <v>833</v>
      </c>
      <c r="B88" s="4" t="s">
        <v>834</v>
      </c>
      <c r="C88" s="4" t="s">
        <v>835</v>
      </c>
      <c r="D88" s="4" t="s">
        <v>836</v>
      </c>
      <c r="E88" s="4" t="s">
        <v>73</v>
      </c>
      <c r="F88" s="4" t="s">
        <v>186</v>
      </c>
      <c r="G88" s="4" t="s">
        <v>90</v>
      </c>
      <c r="H88" s="4" t="s">
        <v>414</v>
      </c>
      <c r="I88" s="5">
        <v>8419333809</v>
      </c>
      <c r="J88" s="5">
        <v>1511453285</v>
      </c>
      <c r="K88" s="5">
        <v>9930787094</v>
      </c>
      <c r="L88" s="6">
        <v>45154</v>
      </c>
      <c r="M88" s="6"/>
      <c r="N88" s="6">
        <v>45281</v>
      </c>
      <c r="O88" s="6">
        <v>45328</v>
      </c>
      <c r="P88" s="5">
        <v>39.99</v>
      </c>
      <c r="Q88" s="5">
        <v>75.38</v>
      </c>
      <c r="R88" s="4"/>
      <c r="S88" s="4" t="s">
        <v>837</v>
      </c>
    </row>
    <row r="89" spans="1:19" ht="69.900000000000006" hidden="1" customHeight="1" x14ac:dyDescent="0.3">
      <c r="A89" s="4" t="s">
        <v>838</v>
      </c>
      <c r="B89" s="4" t="s">
        <v>839</v>
      </c>
      <c r="C89" s="4" t="s">
        <v>840</v>
      </c>
      <c r="D89" s="4" t="s">
        <v>841</v>
      </c>
      <c r="E89" s="4" t="s">
        <v>308</v>
      </c>
      <c r="F89" s="4" t="s">
        <v>842</v>
      </c>
      <c r="G89" s="4" t="s">
        <v>90</v>
      </c>
      <c r="H89" s="4" t="s">
        <v>414</v>
      </c>
      <c r="I89" s="5">
        <v>94461519789</v>
      </c>
      <c r="J89" s="5">
        <v>0</v>
      </c>
      <c r="K89" s="5">
        <v>94461519789</v>
      </c>
      <c r="L89" s="6">
        <v>45290</v>
      </c>
      <c r="M89" s="6"/>
      <c r="N89" s="6">
        <v>45369</v>
      </c>
      <c r="O89" s="6">
        <v>45539</v>
      </c>
      <c r="P89" s="5">
        <v>77.47</v>
      </c>
      <c r="Q89" s="5">
        <v>92.23</v>
      </c>
      <c r="R89" s="4"/>
      <c r="S89" s="4" t="s">
        <v>240</v>
      </c>
    </row>
    <row r="90" spans="1:19" ht="69.900000000000006" hidden="1" customHeight="1" x14ac:dyDescent="0.3">
      <c r="A90" s="4" t="s">
        <v>843</v>
      </c>
      <c r="B90" s="4" t="s">
        <v>636</v>
      </c>
      <c r="C90" s="4" t="s">
        <v>844</v>
      </c>
      <c r="D90" s="4" t="s">
        <v>845</v>
      </c>
      <c r="E90" s="4" t="s">
        <v>73</v>
      </c>
      <c r="F90" s="4" t="s">
        <v>846</v>
      </c>
      <c r="G90" s="4" t="s">
        <v>90</v>
      </c>
      <c r="H90" s="4" t="s">
        <v>414</v>
      </c>
      <c r="I90" s="5">
        <v>3362968761</v>
      </c>
      <c r="J90" s="5">
        <v>1180580884</v>
      </c>
      <c r="K90" s="5">
        <v>4543549645</v>
      </c>
      <c r="L90" s="6">
        <v>45596</v>
      </c>
      <c r="M90" s="6"/>
      <c r="N90" s="6">
        <v>45649</v>
      </c>
      <c r="O90" s="6">
        <v>45721</v>
      </c>
      <c r="P90" s="5">
        <v>23.04</v>
      </c>
      <c r="Q90" s="5">
        <v>22.96</v>
      </c>
      <c r="R90" s="4"/>
      <c r="S90" s="4" t="s">
        <v>847</v>
      </c>
    </row>
    <row r="91" spans="1:19" ht="69.900000000000006" hidden="1" customHeight="1" x14ac:dyDescent="0.3">
      <c r="A91" s="4" t="s">
        <v>848</v>
      </c>
      <c r="B91" s="4" t="s">
        <v>730</v>
      </c>
      <c r="C91" s="4" t="s">
        <v>849</v>
      </c>
      <c r="D91" s="4" t="s">
        <v>850</v>
      </c>
      <c r="E91" s="4" t="s">
        <v>73</v>
      </c>
      <c r="F91" s="4" t="s">
        <v>111</v>
      </c>
      <c r="G91" s="4" t="s">
        <v>90</v>
      </c>
      <c r="H91" s="4" t="s">
        <v>414</v>
      </c>
      <c r="I91" s="5">
        <v>23600000000</v>
      </c>
      <c r="J91" s="5">
        <v>918488200</v>
      </c>
      <c r="K91" s="5">
        <v>24518488200</v>
      </c>
      <c r="L91" s="6">
        <v>45861</v>
      </c>
      <c r="M91" s="6"/>
      <c r="N91" s="6">
        <v>45916</v>
      </c>
      <c r="O91" s="6">
        <v>45965</v>
      </c>
      <c r="P91" s="5">
        <v>0.01</v>
      </c>
      <c r="Q91" s="5">
        <v>0</v>
      </c>
      <c r="R91" s="4"/>
      <c r="S91" s="4" t="s">
        <v>93</v>
      </c>
    </row>
    <row r="92" spans="1:19" ht="69.900000000000006" hidden="1" customHeight="1" x14ac:dyDescent="0.3">
      <c r="A92" s="4" t="s">
        <v>851</v>
      </c>
      <c r="B92" s="4" t="s">
        <v>540</v>
      </c>
      <c r="C92" s="4" t="s">
        <v>852</v>
      </c>
      <c r="D92" s="4" t="s">
        <v>853</v>
      </c>
      <c r="E92" s="4" t="s">
        <v>73</v>
      </c>
      <c r="F92" s="4" t="s">
        <v>186</v>
      </c>
      <c r="G92" s="4" t="s">
        <v>90</v>
      </c>
      <c r="H92" s="4" t="s">
        <v>414</v>
      </c>
      <c r="I92" s="5">
        <v>30000000000</v>
      </c>
      <c r="J92" s="5">
        <v>1068885740</v>
      </c>
      <c r="K92" s="5">
        <v>31068885740</v>
      </c>
      <c r="L92" s="6">
        <v>45861</v>
      </c>
      <c r="M92" s="6"/>
      <c r="N92" s="6">
        <v>45904</v>
      </c>
      <c r="O92" s="6">
        <v>45976</v>
      </c>
      <c r="P92" s="5">
        <v>2.39</v>
      </c>
      <c r="Q92" s="5">
        <v>1.17</v>
      </c>
      <c r="R92" s="4"/>
      <c r="S92" s="4" t="s">
        <v>93</v>
      </c>
    </row>
    <row r="93" spans="1:19" ht="69.900000000000006" hidden="1" customHeight="1" x14ac:dyDescent="0.3">
      <c r="A93" s="4" t="s">
        <v>854</v>
      </c>
      <c r="B93" s="4" t="s">
        <v>646</v>
      </c>
      <c r="C93" s="4" t="s">
        <v>855</v>
      </c>
      <c r="D93" s="4"/>
      <c r="E93" s="4" t="s">
        <v>73</v>
      </c>
      <c r="F93" s="4" t="s">
        <v>186</v>
      </c>
      <c r="G93" s="4" t="s">
        <v>90</v>
      </c>
      <c r="H93" s="4" t="s">
        <v>414</v>
      </c>
      <c r="I93" s="5">
        <v>30000000000</v>
      </c>
      <c r="J93" s="5">
        <v>899136874.04999924</v>
      </c>
      <c r="K93" s="5">
        <v>30899136874.049999</v>
      </c>
      <c r="L93" s="6">
        <v>45861</v>
      </c>
      <c r="M93" s="6"/>
      <c r="N93" s="6">
        <v>45926</v>
      </c>
      <c r="O93" s="6">
        <v>45980</v>
      </c>
      <c r="P93" s="5">
        <v>8.8000000000000007</v>
      </c>
      <c r="Q93" s="5">
        <v>10.53</v>
      </c>
      <c r="R93" s="4"/>
      <c r="S93" s="4" t="s">
        <v>93</v>
      </c>
    </row>
    <row r="94" spans="1:19" ht="69.900000000000006" hidden="1" customHeight="1" x14ac:dyDescent="0.3">
      <c r="A94" s="4" t="s">
        <v>856</v>
      </c>
      <c r="B94" s="4" t="s">
        <v>857</v>
      </c>
      <c r="C94" s="4" t="s">
        <v>858</v>
      </c>
      <c r="D94" s="4"/>
      <c r="E94" s="4" t="s">
        <v>202</v>
      </c>
      <c r="F94" s="4" t="s">
        <v>205</v>
      </c>
      <c r="G94" s="4" t="s">
        <v>90</v>
      </c>
      <c r="H94" s="4" t="s">
        <v>414</v>
      </c>
      <c r="I94" s="5">
        <v>172253454</v>
      </c>
      <c r="J94" s="5">
        <v>0</v>
      </c>
      <c r="K94" s="5">
        <v>172253454</v>
      </c>
      <c r="L94" s="6">
        <v>45715</v>
      </c>
      <c r="M94" s="6"/>
      <c r="N94" s="6">
        <v>46008</v>
      </c>
      <c r="O94" s="6">
        <v>46014</v>
      </c>
      <c r="P94" s="5">
        <v>100</v>
      </c>
      <c r="Q94" s="5">
        <v>90</v>
      </c>
      <c r="R94" s="4"/>
      <c r="S94" s="4" t="s">
        <v>93</v>
      </c>
    </row>
    <row r="95" spans="1:19" ht="69.900000000000006" hidden="1" customHeight="1" x14ac:dyDescent="0.3">
      <c r="A95" s="4" t="s">
        <v>859</v>
      </c>
      <c r="B95" s="4" t="s">
        <v>860</v>
      </c>
      <c r="C95" s="4" t="s">
        <v>861</v>
      </c>
      <c r="D95" s="4" t="s">
        <v>862</v>
      </c>
      <c r="E95" s="4" t="s">
        <v>202</v>
      </c>
      <c r="F95" s="4" t="s">
        <v>205</v>
      </c>
      <c r="G95" s="4" t="s">
        <v>90</v>
      </c>
      <c r="H95" s="4" t="s">
        <v>420</v>
      </c>
      <c r="I95" s="5">
        <v>511865531</v>
      </c>
      <c r="J95" s="5">
        <v>200000000</v>
      </c>
      <c r="K95" s="5">
        <v>711865531</v>
      </c>
      <c r="L95" s="6">
        <v>45756</v>
      </c>
      <c r="M95" s="6"/>
      <c r="N95" s="6">
        <v>45775</v>
      </c>
      <c r="O95" s="6">
        <v>45922</v>
      </c>
      <c r="P95" s="5">
        <v>79.33</v>
      </c>
      <c r="Q95" s="5">
        <v>69.88</v>
      </c>
      <c r="R95" s="4"/>
      <c r="S95" s="4" t="s">
        <v>863</v>
      </c>
    </row>
    <row r="96" spans="1:19" ht="69.900000000000006" hidden="1" customHeight="1" x14ac:dyDescent="0.3">
      <c r="A96" s="4" t="s">
        <v>864</v>
      </c>
      <c r="B96" s="4" t="s">
        <v>865</v>
      </c>
      <c r="C96" s="4" t="s">
        <v>866</v>
      </c>
      <c r="D96" s="4"/>
      <c r="E96" s="4" t="s">
        <v>255</v>
      </c>
      <c r="F96" s="4" t="s">
        <v>205</v>
      </c>
      <c r="G96" s="4" t="s">
        <v>300</v>
      </c>
      <c r="H96" s="4" t="s">
        <v>469</v>
      </c>
      <c r="I96" s="5">
        <v>386045990.94</v>
      </c>
      <c r="J96" s="5">
        <v>200000000.00000009</v>
      </c>
      <c r="K96" s="5">
        <v>586045990.94000006</v>
      </c>
      <c r="L96" s="6">
        <v>45917</v>
      </c>
      <c r="M96" s="6"/>
      <c r="N96" s="6">
        <v>45938</v>
      </c>
      <c r="O96" s="6"/>
      <c r="P96" s="5">
        <v>0</v>
      </c>
      <c r="Q96" s="5">
        <v>0</v>
      </c>
      <c r="R96" s="4"/>
      <c r="S96" s="4" t="s">
        <v>867</v>
      </c>
    </row>
    <row r="97" spans="1:19" ht="69.900000000000006" hidden="1" customHeight="1" x14ac:dyDescent="0.3">
      <c r="A97" s="4" t="s">
        <v>868</v>
      </c>
      <c r="B97" s="4" t="s">
        <v>869</v>
      </c>
      <c r="C97" s="4" t="s">
        <v>870</v>
      </c>
      <c r="D97" s="4" t="s">
        <v>871</v>
      </c>
      <c r="E97" s="4" t="s">
        <v>98</v>
      </c>
      <c r="F97" s="4" t="s">
        <v>101</v>
      </c>
      <c r="G97" s="4" t="s">
        <v>90</v>
      </c>
      <c r="H97" s="4" t="s">
        <v>414</v>
      </c>
      <c r="I97" s="5">
        <v>59900815918</v>
      </c>
      <c r="J97" s="5">
        <v>0</v>
      </c>
      <c r="K97" s="5">
        <v>59900815918</v>
      </c>
      <c r="L97" s="6">
        <v>45911</v>
      </c>
      <c r="M97" s="6"/>
      <c r="N97" s="6">
        <v>45922</v>
      </c>
      <c r="O97" s="6">
        <v>45974</v>
      </c>
      <c r="P97" s="5">
        <v>0.39</v>
      </c>
      <c r="Q97" s="5">
        <v>24.54</v>
      </c>
      <c r="R97" s="4"/>
      <c r="S97" s="4" t="s">
        <v>68</v>
      </c>
    </row>
    <row r="98" spans="1:19" ht="69.900000000000006" hidden="1" customHeight="1" x14ac:dyDescent="0.3">
      <c r="A98" s="4" t="s">
        <v>872</v>
      </c>
      <c r="B98" s="4" t="s">
        <v>555</v>
      </c>
      <c r="C98" s="4" t="s">
        <v>873</v>
      </c>
      <c r="D98" s="4" t="s">
        <v>874</v>
      </c>
      <c r="E98" s="4" t="s">
        <v>308</v>
      </c>
      <c r="F98" s="4" t="s">
        <v>875</v>
      </c>
      <c r="G98" s="4" t="s">
        <v>90</v>
      </c>
      <c r="H98" s="4" t="s">
        <v>414</v>
      </c>
      <c r="I98" s="5">
        <v>28121067144</v>
      </c>
      <c r="J98" s="5">
        <v>142000000</v>
      </c>
      <c r="K98" s="5">
        <v>28263067144</v>
      </c>
      <c r="L98" s="6">
        <v>45861</v>
      </c>
      <c r="M98" s="6"/>
      <c r="N98" s="6">
        <v>45882</v>
      </c>
      <c r="O98" s="6">
        <v>45926</v>
      </c>
      <c r="P98" s="5">
        <v>7.97</v>
      </c>
      <c r="Q98" s="5">
        <v>27.96</v>
      </c>
      <c r="R98" s="4"/>
      <c r="S98" s="4" t="s">
        <v>876</v>
      </c>
    </row>
    <row r="99" spans="1:19" ht="69.900000000000006" hidden="1" customHeight="1" x14ac:dyDescent="0.3">
      <c r="A99" s="4" t="s">
        <v>877</v>
      </c>
      <c r="B99" s="4" t="s">
        <v>636</v>
      </c>
      <c r="C99" s="4" t="s">
        <v>878</v>
      </c>
      <c r="D99" s="4" t="s">
        <v>879</v>
      </c>
      <c r="E99" s="4" t="s">
        <v>73</v>
      </c>
      <c r="F99" s="4" t="s">
        <v>111</v>
      </c>
      <c r="G99" s="4" t="s">
        <v>109</v>
      </c>
      <c r="H99" s="4" t="s">
        <v>476</v>
      </c>
      <c r="I99" s="5">
        <v>1989520159</v>
      </c>
      <c r="J99" s="5">
        <v>835888647</v>
      </c>
      <c r="K99" s="5">
        <v>2825408806</v>
      </c>
      <c r="L99" s="6">
        <v>44078</v>
      </c>
      <c r="M99" s="6"/>
      <c r="N99" s="6">
        <v>44176</v>
      </c>
      <c r="O99" s="6"/>
      <c r="P99" s="5">
        <v>98.57</v>
      </c>
      <c r="Q99" s="5">
        <v>98.93</v>
      </c>
      <c r="R99" s="4"/>
      <c r="S99" s="4" t="s">
        <v>880</v>
      </c>
    </row>
    <row r="100" spans="1:19" ht="69.900000000000006" hidden="1" customHeight="1" x14ac:dyDescent="0.3">
      <c r="A100" s="4" t="s">
        <v>881</v>
      </c>
      <c r="B100" s="4" t="s">
        <v>882</v>
      </c>
      <c r="C100" s="4" t="s">
        <v>883</v>
      </c>
      <c r="D100" s="4" t="s">
        <v>884</v>
      </c>
      <c r="E100" s="4" t="s">
        <v>73</v>
      </c>
      <c r="F100" s="4" t="s">
        <v>111</v>
      </c>
      <c r="G100" s="4" t="s">
        <v>109</v>
      </c>
      <c r="H100" s="4" t="s">
        <v>476</v>
      </c>
      <c r="I100" s="5">
        <v>4869404585</v>
      </c>
      <c r="J100" s="5">
        <v>170383404</v>
      </c>
      <c r="K100" s="5">
        <v>5039787989</v>
      </c>
      <c r="L100" s="6">
        <v>44384</v>
      </c>
      <c r="M100" s="6"/>
      <c r="N100" s="6">
        <v>44407</v>
      </c>
      <c r="O100" s="6">
        <v>44560</v>
      </c>
      <c r="P100" s="5">
        <v>100</v>
      </c>
      <c r="Q100" s="5">
        <v>99.22</v>
      </c>
      <c r="R100" s="4"/>
      <c r="S100" s="4" t="s">
        <v>93</v>
      </c>
    </row>
    <row r="101" spans="1:19" ht="69.900000000000006" hidden="1" customHeight="1" x14ac:dyDescent="0.3">
      <c r="A101" s="4" t="s">
        <v>885</v>
      </c>
      <c r="B101" s="4" t="s">
        <v>530</v>
      </c>
      <c r="C101" s="4" t="s">
        <v>886</v>
      </c>
      <c r="D101" s="4" t="s">
        <v>887</v>
      </c>
      <c r="E101" s="4" t="s">
        <v>98</v>
      </c>
      <c r="F101" s="4" t="s">
        <v>888</v>
      </c>
      <c r="G101" s="4" t="s">
        <v>109</v>
      </c>
      <c r="H101" s="4" t="s">
        <v>476</v>
      </c>
      <c r="I101" s="5">
        <v>2644584337.2600002</v>
      </c>
      <c r="J101" s="5">
        <v>0</v>
      </c>
      <c r="K101" s="5">
        <v>2644584337.2600002</v>
      </c>
      <c r="L101" s="6">
        <v>44456</v>
      </c>
      <c r="M101" s="6"/>
      <c r="N101" s="6">
        <v>44489</v>
      </c>
      <c r="O101" s="6">
        <v>44859</v>
      </c>
      <c r="P101" s="5">
        <v>100</v>
      </c>
      <c r="Q101" s="5">
        <v>99.98</v>
      </c>
      <c r="R101" s="4"/>
      <c r="S101" s="4" t="s">
        <v>240</v>
      </c>
    </row>
    <row r="102" spans="1:19" ht="69.900000000000006" hidden="1" customHeight="1" x14ac:dyDescent="0.3">
      <c r="A102" s="4" t="s">
        <v>889</v>
      </c>
      <c r="B102" s="4" t="s">
        <v>484</v>
      </c>
      <c r="C102" s="4" t="s">
        <v>890</v>
      </c>
      <c r="D102" s="4" t="s">
        <v>891</v>
      </c>
      <c r="E102" s="4" t="s">
        <v>98</v>
      </c>
      <c r="F102" s="4" t="s">
        <v>892</v>
      </c>
      <c r="G102" s="4" t="s">
        <v>109</v>
      </c>
      <c r="H102" s="4" t="s">
        <v>476</v>
      </c>
      <c r="I102" s="5">
        <v>6578630543.6700001</v>
      </c>
      <c r="J102" s="5">
        <v>0</v>
      </c>
      <c r="K102" s="5">
        <v>6578630543.6700001</v>
      </c>
      <c r="L102" s="6">
        <v>44559</v>
      </c>
      <c r="M102" s="6"/>
      <c r="N102" s="6">
        <v>44566</v>
      </c>
      <c r="O102" s="6">
        <v>44697</v>
      </c>
      <c r="P102" s="5">
        <v>100</v>
      </c>
      <c r="Q102" s="5">
        <v>100</v>
      </c>
      <c r="R102" s="4"/>
      <c r="S102" s="4" t="s">
        <v>487</v>
      </c>
    </row>
    <row r="103" spans="1:19" ht="69.900000000000006" hidden="1" customHeight="1" x14ac:dyDescent="0.3">
      <c r="A103" s="4" t="s">
        <v>893</v>
      </c>
      <c r="B103" s="4" t="s">
        <v>860</v>
      </c>
      <c r="C103" s="4" t="s">
        <v>894</v>
      </c>
      <c r="D103" s="4" t="s">
        <v>895</v>
      </c>
      <c r="E103" s="4" t="s">
        <v>98</v>
      </c>
      <c r="F103" s="4" t="s">
        <v>101</v>
      </c>
      <c r="G103" s="4" t="s">
        <v>109</v>
      </c>
      <c r="H103" s="4" t="s">
        <v>476</v>
      </c>
      <c r="I103" s="5">
        <v>6853127845.6300001</v>
      </c>
      <c r="J103" s="5">
        <v>0</v>
      </c>
      <c r="K103" s="5">
        <v>6853127845.6300001</v>
      </c>
      <c r="L103" s="6">
        <v>45216</v>
      </c>
      <c r="M103" s="6"/>
      <c r="N103" s="6">
        <v>45219</v>
      </c>
      <c r="O103" s="6">
        <v>45286</v>
      </c>
      <c r="P103" s="5">
        <v>100</v>
      </c>
      <c r="Q103" s="5">
        <v>99.99</v>
      </c>
      <c r="R103" s="4"/>
      <c r="S103" s="4" t="s">
        <v>863</v>
      </c>
    </row>
    <row r="104" spans="1:19" ht="69.900000000000006" hidden="1" customHeight="1" x14ac:dyDescent="0.3">
      <c r="A104" s="4" t="s">
        <v>896</v>
      </c>
      <c r="B104" s="4" t="s">
        <v>869</v>
      </c>
      <c r="C104" s="4" t="s">
        <v>897</v>
      </c>
      <c r="D104" s="4"/>
      <c r="E104" s="4" t="s">
        <v>98</v>
      </c>
      <c r="F104" s="4" t="s">
        <v>898</v>
      </c>
      <c r="G104" s="4" t="s">
        <v>899</v>
      </c>
      <c r="H104" s="4" t="s">
        <v>469</v>
      </c>
      <c r="I104" s="5">
        <v>36139210439</v>
      </c>
      <c r="J104" s="5">
        <v>0</v>
      </c>
      <c r="K104" s="5">
        <v>36139210439</v>
      </c>
      <c r="L104" s="6">
        <v>46080</v>
      </c>
      <c r="M104" s="6"/>
      <c r="N104" s="6">
        <v>46091</v>
      </c>
      <c r="O104" s="6"/>
      <c r="P104" s="5">
        <v>0</v>
      </c>
      <c r="Q104" s="5">
        <v>0</v>
      </c>
      <c r="R104" s="4"/>
      <c r="S104" s="4" t="s">
        <v>240</v>
      </c>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5043621-4ADB-44F3-A907-2E95B3BEBE9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9AE3758-66BB-4C1D-BA31-F4D1BF400D5C}">
  <ds:schemaRefs>
    <ds:schemaRef ds:uri="http://schemas.microsoft.com/sharepoint/v3/contenttype/forms"/>
  </ds:schemaRefs>
</ds:datastoreItem>
</file>

<file path=customXml/itemProps3.xml><?xml version="1.0" encoding="utf-8"?>
<ds:datastoreItem xmlns:ds="http://schemas.openxmlformats.org/officeDocument/2006/customXml" ds:itemID="{E0748028-BAD5-48C9-88CC-EC67F793CDEA}">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2026-06-16T16:14:40Z</dcterms:created>
  <dcterms:modified xsi:type="dcterms:W3CDTF">2026-06-18T02:04:54Z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