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defaultThemeVersion="124226"/>
  <mc:AlternateContent xmlns:mc="http://schemas.openxmlformats.org/markup-compatibility/2006">
    <mc:Choice Requires="x15">
      <x15ac:absPath xmlns:x15ac="http://schemas.microsoft.com/office/spreadsheetml/2010/11/ac" url="https://departamentodesucre.sharepoint.com/sites/SeguimientoRegalas/Documentos compartidos/Regalías/GESTION Y SEGUIMIENTO SGR/ARCHIVOS CARGUE REPOSITORIO/"/>
    </mc:Choice>
  </mc:AlternateContent>
  <xr:revisionPtr revIDLastSave="17" documentId="13_ncr:1_{8A5C9491-4771-48A1-BD83-F2BEDE4C7C18}" xr6:coauthVersionLast="47" xr6:coauthVersionMax="47" xr10:uidLastSave="{30E943D1-DA38-45B9-A331-06E8BDA1EFB0}"/>
  <bookViews>
    <workbookView xWindow="-108" yWindow="-108" windowWidth="23256" windowHeight="12456" xr2:uid="{00000000-000D-0000-FFFF-FFFF00000000}"/>
  </bookViews>
  <sheets>
    <sheet name="MatrizSeguimientoEvaluacion" sheetId="1" r:id="rId1"/>
    <sheet name="OtrosEjecutoresDescentralizadas" sheetId="2" r:id="rId2"/>
    <sheet name="OtrosEjecutoresMunicipio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18" i="2" l="1"/>
  <c r="AE18" i="2"/>
  <c r="AD18" i="2"/>
  <c r="AC18" i="2"/>
  <c r="AB18" i="2"/>
  <c r="AK18" i="2" s="1"/>
  <c r="AJ17" i="2"/>
  <c r="AE17" i="2"/>
  <c r="AD17" i="2"/>
  <c r="AC17" i="2"/>
  <c r="AB17" i="2"/>
  <c r="AK17" i="2" s="1"/>
  <c r="AK16" i="2"/>
  <c r="AJ16" i="2"/>
  <c r="AE16" i="2"/>
  <c r="AD16" i="2"/>
  <c r="AC16" i="2"/>
  <c r="AB16" i="2"/>
  <c r="AJ15" i="2"/>
  <c r="AE15" i="2"/>
  <c r="AD15" i="2"/>
  <c r="AC15" i="2"/>
  <c r="AB15" i="2"/>
  <c r="AK15" i="2" s="1"/>
  <c r="AK14" i="2"/>
  <c r="AJ14" i="2"/>
  <c r="AE14" i="2"/>
  <c r="AD14" i="2"/>
  <c r="AC14" i="2"/>
  <c r="AB14" i="2"/>
  <c r="AJ13" i="2"/>
  <c r="AE13" i="2"/>
  <c r="AD13" i="2"/>
  <c r="AC13" i="2"/>
  <c r="AB13" i="2"/>
  <c r="AK13" i="2" s="1"/>
  <c r="AK12" i="2"/>
  <c r="AJ12" i="2"/>
  <c r="AE12" i="2"/>
  <c r="AD12" i="2"/>
  <c r="AC12" i="2"/>
  <c r="AB12" i="2"/>
  <c r="AJ11" i="2"/>
  <c r="AE11" i="2"/>
  <c r="AD11" i="2"/>
  <c r="AC11" i="2"/>
  <c r="AB11" i="2"/>
  <c r="AK11" i="2" s="1"/>
  <c r="AK10" i="2"/>
  <c r="AJ10" i="2"/>
  <c r="AE10" i="2"/>
  <c r="AD10" i="2"/>
  <c r="AC10" i="2"/>
  <c r="AB10" i="2"/>
  <c r="AJ9" i="2"/>
  <c r="AE9" i="2"/>
  <c r="AD9" i="2"/>
  <c r="AC9" i="2"/>
  <c r="AB9" i="2"/>
  <c r="AK9" i="2" s="1"/>
  <c r="AK8" i="2"/>
  <c r="AJ8" i="2"/>
  <c r="AE8" i="2"/>
  <c r="AD8" i="2"/>
  <c r="AC8" i="2"/>
  <c r="AB8" i="2"/>
  <c r="AJ7" i="2"/>
  <c r="AE7" i="2"/>
  <c r="AD7" i="2"/>
  <c r="AC7" i="2"/>
  <c r="AB7" i="2"/>
  <c r="AK7" i="2" s="1"/>
  <c r="AK6" i="2"/>
  <c r="AJ6" i="2"/>
  <c r="AE6" i="2"/>
  <c r="AD6" i="2"/>
  <c r="AC6" i="2"/>
  <c r="AB6" i="2"/>
  <c r="AJ5" i="2"/>
  <c r="AE5" i="2"/>
  <c r="AD5" i="2"/>
  <c r="AC5" i="2"/>
  <c r="AB5" i="2"/>
  <c r="AK5" i="2" s="1"/>
  <c r="AK4" i="2"/>
  <c r="AJ4" i="2"/>
  <c r="AE4" i="2"/>
  <c r="AD4" i="2"/>
  <c r="AC4" i="2"/>
  <c r="AB4" i="2"/>
  <c r="AK3" i="2"/>
  <c r="AJ3" i="2"/>
  <c r="AE3" i="2"/>
  <c r="AD3" i="2"/>
  <c r="AC3" i="2"/>
  <c r="AB3" i="2"/>
  <c r="AV60" i="1"/>
  <c r="AU60" i="1"/>
  <c r="AS60" i="1"/>
  <c r="AP60" i="1"/>
  <c r="AO60" i="1"/>
  <c r="AN60" i="1"/>
  <c r="AM60" i="1"/>
  <c r="AU59" i="1"/>
  <c r="AS59" i="1"/>
  <c r="AP59" i="1"/>
  <c r="AO59" i="1"/>
  <c r="AN59" i="1"/>
  <c r="AM59" i="1"/>
  <c r="AU58" i="1"/>
  <c r="AS58" i="1"/>
  <c r="AP58" i="1"/>
  <c r="AO58" i="1"/>
  <c r="AN58" i="1"/>
  <c r="AM58" i="1"/>
  <c r="AU57" i="1"/>
  <c r="AS57" i="1"/>
  <c r="AP57" i="1"/>
  <c r="AO57" i="1"/>
  <c r="AN57" i="1"/>
  <c r="AM57" i="1"/>
  <c r="AU56" i="1"/>
  <c r="AS56" i="1"/>
  <c r="AP56" i="1"/>
  <c r="AO56" i="1"/>
  <c r="AN56" i="1"/>
  <c r="AM56" i="1"/>
  <c r="AV56" i="1" s="1"/>
  <c r="AU55" i="1"/>
  <c r="AS55" i="1"/>
  <c r="AP55" i="1"/>
  <c r="AO55" i="1"/>
  <c r="AN55" i="1"/>
  <c r="AM55" i="1"/>
  <c r="AU54" i="1"/>
  <c r="AS54" i="1"/>
  <c r="AP54" i="1"/>
  <c r="AO54" i="1"/>
  <c r="AN54" i="1"/>
  <c r="AM54" i="1"/>
  <c r="AV54" i="1" s="1"/>
  <c r="AU53" i="1"/>
  <c r="AS53" i="1"/>
  <c r="AP53" i="1"/>
  <c r="AO53" i="1"/>
  <c r="AN53" i="1"/>
  <c r="AM53" i="1"/>
  <c r="AU52" i="1"/>
  <c r="AS52" i="1"/>
  <c r="AP52" i="1"/>
  <c r="AO52" i="1"/>
  <c r="AN52" i="1"/>
  <c r="AM52" i="1"/>
  <c r="AV52" i="1" s="1"/>
  <c r="AU51" i="1"/>
  <c r="AS51" i="1"/>
  <c r="AP51" i="1"/>
  <c r="AO51" i="1"/>
  <c r="AN51" i="1"/>
  <c r="AM51" i="1"/>
  <c r="AU50" i="1"/>
  <c r="AS50" i="1"/>
  <c r="AP50" i="1"/>
  <c r="AO50" i="1"/>
  <c r="AN50" i="1"/>
  <c r="AM50" i="1"/>
  <c r="AV50" i="1" s="1"/>
  <c r="AU49" i="1"/>
  <c r="AS49" i="1"/>
  <c r="AP49" i="1"/>
  <c r="AO49" i="1"/>
  <c r="AN49" i="1"/>
  <c r="AM49" i="1"/>
  <c r="AV48" i="1"/>
  <c r="AU48" i="1"/>
  <c r="AS48" i="1"/>
  <c r="AP48" i="1"/>
  <c r="AO48" i="1"/>
  <c r="AN48" i="1"/>
  <c r="AM48" i="1"/>
  <c r="AU47" i="1"/>
  <c r="AS47" i="1"/>
  <c r="AP47" i="1"/>
  <c r="AO47" i="1"/>
  <c r="AN47" i="1"/>
  <c r="AM47" i="1"/>
  <c r="AU46" i="1"/>
  <c r="AS46" i="1"/>
  <c r="AP46" i="1"/>
  <c r="AO46" i="1"/>
  <c r="AN46" i="1"/>
  <c r="AM46" i="1"/>
  <c r="AU45" i="1"/>
  <c r="AS45" i="1"/>
  <c r="AP45" i="1"/>
  <c r="AO45" i="1"/>
  <c r="AN45" i="1"/>
  <c r="AM45" i="1"/>
  <c r="AU44" i="1"/>
  <c r="AS44" i="1"/>
  <c r="AO44" i="1"/>
  <c r="AP44" i="1" s="1"/>
  <c r="AN44" i="1"/>
  <c r="AM44" i="1"/>
  <c r="AV44" i="1" s="1"/>
  <c r="AU43" i="1"/>
  <c r="AS43" i="1"/>
  <c r="AP43" i="1"/>
  <c r="AO43" i="1"/>
  <c r="AN43" i="1"/>
  <c r="AM43" i="1"/>
  <c r="AU42" i="1"/>
  <c r="AS42" i="1"/>
  <c r="AP42" i="1"/>
  <c r="AO42" i="1"/>
  <c r="AN42" i="1"/>
  <c r="AM42" i="1"/>
  <c r="AV42" i="1" s="1"/>
  <c r="AU41" i="1"/>
  <c r="AS41" i="1"/>
  <c r="AP41" i="1"/>
  <c r="AO41" i="1"/>
  <c r="AN41" i="1"/>
  <c r="AM41" i="1"/>
  <c r="AU40" i="1"/>
  <c r="AS40" i="1"/>
  <c r="AO40" i="1"/>
  <c r="AP40" i="1" s="1"/>
  <c r="AN40" i="1"/>
  <c r="AM40" i="1"/>
  <c r="AU39" i="1"/>
  <c r="AS39" i="1"/>
  <c r="AP39" i="1"/>
  <c r="AO39" i="1"/>
  <c r="AN39" i="1"/>
  <c r="AM39" i="1"/>
  <c r="AU38" i="1"/>
  <c r="AS38" i="1"/>
  <c r="AO38" i="1"/>
  <c r="AP38" i="1" s="1"/>
  <c r="AN38" i="1"/>
  <c r="AM38" i="1"/>
  <c r="AU37" i="1"/>
  <c r="AS37" i="1"/>
  <c r="AO37" i="1"/>
  <c r="AP37" i="1" s="1"/>
  <c r="AN37" i="1"/>
  <c r="AM37" i="1"/>
  <c r="AU36" i="1"/>
  <c r="AS36" i="1"/>
  <c r="AP36" i="1"/>
  <c r="AO36" i="1"/>
  <c r="AN36" i="1"/>
  <c r="AM36" i="1"/>
  <c r="AV35" i="1"/>
  <c r="AU35" i="1"/>
  <c r="AS35" i="1"/>
  <c r="AP35" i="1"/>
  <c r="AO35" i="1"/>
  <c r="AN35" i="1"/>
  <c r="AM35" i="1"/>
  <c r="AU34" i="1"/>
  <c r="AS34" i="1"/>
  <c r="AP34" i="1"/>
  <c r="AO34" i="1"/>
  <c r="AN34" i="1"/>
  <c r="AM34" i="1"/>
  <c r="AU33" i="1"/>
  <c r="AS33" i="1"/>
  <c r="AP33" i="1"/>
  <c r="AO33" i="1"/>
  <c r="AN33" i="1"/>
  <c r="AM33" i="1"/>
  <c r="AU32" i="1"/>
  <c r="AS32" i="1"/>
  <c r="AO32" i="1"/>
  <c r="AP32" i="1" s="1"/>
  <c r="AN32" i="1"/>
  <c r="AM32" i="1"/>
  <c r="AU31" i="1"/>
  <c r="AS31" i="1"/>
  <c r="AP31" i="1"/>
  <c r="AO31" i="1"/>
  <c r="AN31" i="1"/>
  <c r="AM31" i="1"/>
  <c r="AU30" i="1"/>
  <c r="AS30" i="1"/>
  <c r="AP30" i="1"/>
  <c r="AO30" i="1"/>
  <c r="AN30" i="1"/>
  <c r="AM30" i="1"/>
  <c r="AU29" i="1"/>
  <c r="AS29" i="1"/>
  <c r="AP29" i="1"/>
  <c r="AO29" i="1"/>
  <c r="AN29" i="1"/>
  <c r="AM29" i="1"/>
  <c r="AU28" i="1"/>
  <c r="AS28" i="1"/>
  <c r="AP28" i="1"/>
  <c r="AO28" i="1"/>
  <c r="AN28" i="1"/>
  <c r="AM28" i="1"/>
  <c r="AU27" i="1"/>
  <c r="AS27" i="1"/>
  <c r="AP27" i="1"/>
  <c r="AO27" i="1"/>
  <c r="AN27" i="1"/>
  <c r="AM27" i="1"/>
  <c r="AU26" i="1"/>
  <c r="AS26" i="1"/>
  <c r="AP26" i="1"/>
  <c r="AO26" i="1"/>
  <c r="AN26" i="1"/>
  <c r="AM26" i="1"/>
  <c r="AV25" i="1"/>
  <c r="AU25" i="1"/>
  <c r="AS25" i="1"/>
  <c r="AP25" i="1"/>
  <c r="AO25" i="1"/>
  <c r="AN25" i="1"/>
  <c r="AM25" i="1"/>
  <c r="AV24" i="1"/>
  <c r="AU24" i="1"/>
  <c r="AS24" i="1"/>
  <c r="AP24" i="1"/>
  <c r="AO24" i="1"/>
  <c r="AN24" i="1"/>
  <c r="AM24" i="1"/>
  <c r="AV23" i="1"/>
  <c r="AU23" i="1"/>
  <c r="AS23" i="1"/>
  <c r="AP23" i="1"/>
  <c r="AO23" i="1"/>
  <c r="AN23" i="1"/>
  <c r="AM23" i="1"/>
  <c r="AU22" i="1"/>
  <c r="AS22" i="1"/>
  <c r="AO22" i="1"/>
  <c r="AP22" i="1" s="1"/>
  <c r="AN22" i="1"/>
  <c r="AM22" i="1"/>
  <c r="AU21" i="1"/>
  <c r="AS21" i="1"/>
  <c r="AO21" i="1"/>
  <c r="AP21" i="1" s="1"/>
  <c r="AN21" i="1"/>
  <c r="AM21" i="1"/>
  <c r="AU20" i="1"/>
  <c r="AS20" i="1"/>
  <c r="AO20" i="1"/>
  <c r="AP20" i="1" s="1"/>
  <c r="AN20" i="1"/>
  <c r="AM20" i="1"/>
  <c r="AU19" i="1"/>
  <c r="AS19" i="1"/>
  <c r="AP19" i="1"/>
  <c r="AO19" i="1"/>
  <c r="AN19" i="1"/>
  <c r="AM19" i="1"/>
  <c r="AU18" i="1"/>
  <c r="AS18" i="1"/>
  <c r="AP18" i="1"/>
  <c r="AO18" i="1"/>
  <c r="AN18" i="1"/>
  <c r="AM18" i="1"/>
  <c r="AU17" i="1"/>
  <c r="AS17" i="1"/>
  <c r="AP17" i="1"/>
  <c r="AO17" i="1"/>
  <c r="AN17" i="1"/>
  <c r="AM17" i="1"/>
  <c r="AU16" i="1"/>
  <c r="AS16" i="1"/>
  <c r="AO16" i="1"/>
  <c r="AP16" i="1" s="1"/>
  <c r="AN16" i="1"/>
  <c r="AM16" i="1"/>
  <c r="AU15" i="1"/>
  <c r="AS15" i="1"/>
  <c r="AO15" i="1"/>
  <c r="AP15" i="1" s="1"/>
  <c r="AN15" i="1"/>
  <c r="AM15" i="1"/>
  <c r="AU14" i="1"/>
  <c r="AS14" i="1"/>
  <c r="AP14" i="1"/>
  <c r="AO14" i="1"/>
  <c r="AN14" i="1"/>
  <c r="AM14" i="1"/>
  <c r="AU13" i="1"/>
  <c r="AS13" i="1"/>
  <c r="AP13" i="1"/>
  <c r="AO13" i="1"/>
  <c r="AN13" i="1"/>
  <c r="AM13" i="1"/>
  <c r="AU12" i="1"/>
  <c r="AS12" i="1"/>
  <c r="AP12" i="1"/>
  <c r="AO12" i="1"/>
  <c r="AN12" i="1"/>
  <c r="AM12" i="1"/>
  <c r="AU11" i="1"/>
  <c r="AS11" i="1"/>
  <c r="AO11" i="1"/>
  <c r="AP11" i="1" s="1"/>
  <c r="AN11" i="1"/>
  <c r="AM11" i="1"/>
  <c r="AU10" i="1"/>
  <c r="AS10" i="1"/>
  <c r="AP10" i="1"/>
  <c r="AO10" i="1"/>
  <c r="AN10" i="1"/>
  <c r="AM10" i="1"/>
  <c r="AU9" i="1"/>
  <c r="AS9" i="1"/>
  <c r="AO9" i="1"/>
  <c r="AP9" i="1" s="1"/>
  <c r="AN9" i="1"/>
  <c r="AM9" i="1"/>
  <c r="AU8" i="1"/>
  <c r="AS8" i="1"/>
  <c r="AP8" i="1"/>
  <c r="AO8" i="1"/>
  <c r="AN8" i="1"/>
  <c r="AM8" i="1"/>
  <c r="AU7" i="1"/>
  <c r="AS7" i="1"/>
  <c r="AP7" i="1"/>
  <c r="AO7" i="1"/>
  <c r="AN7" i="1"/>
  <c r="AM7" i="1"/>
  <c r="AU6" i="1"/>
  <c r="AS6" i="1"/>
  <c r="AO6" i="1"/>
  <c r="AP6" i="1" s="1"/>
  <c r="AN6" i="1"/>
  <c r="AM6" i="1"/>
  <c r="AU5" i="1"/>
  <c r="AS5" i="1"/>
  <c r="AP5" i="1"/>
  <c r="AO5" i="1"/>
  <c r="AN5" i="1"/>
  <c r="AM5" i="1"/>
  <c r="AV4" i="1"/>
  <c r="AU4" i="1"/>
  <c r="AS4" i="1"/>
  <c r="AO4" i="1"/>
  <c r="AP4" i="1" s="1"/>
  <c r="AN4" i="1"/>
  <c r="AM4" i="1"/>
  <c r="AU3" i="1"/>
  <c r="AS3" i="1"/>
  <c r="AP3" i="1"/>
  <c r="AO3" i="1"/>
  <c r="AN3" i="1"/>
  <c r="AM3" i="1"/>
  <c r="AV3" i="1" l="1"/>
  <c r="AV20" i="1"/>
  <c r="AV49" i="1"/>
  <c r="AV51" i="1"/>
  <c r="AV53" i="1"/>
  <c r="AV55" i="1"/>
  <c r="AV57" i="1"/>
  <c r="AV21" i="1"/>
  <c r="AV17" i="1"/>
  <c r="AV27" i="1"/>
  <c r="AV39" i="1"/>
  <c r="AV9" i="1"/>
  <c r="AV59" i="1"/>
  <c r="AV26" i="1"/>
  <c r="AV28" i="1"/>
  <c r="AV32" i="1"/>
  <c r="AV36" i="1"/>
  <c r="AV38" i="1"/>
  <c r="AV14" i="1"/>
  <c r="AV12" i="1"/>
  <c r="AV8" i="1"/>
  <c r="AV47" i="1"/>
  <c r="AV30" i="1"/>
  <c r="AV34" i="1"/>
  <c r="AV40" i="1"/>
  <c r="AV13" i="1"/>
  <c r="AV19" i="1"/>
  <c r="AV46" i="1"/>
  <c r="AV10" i="1"/>
  <c r="AV6" i="1"/>
  <c r="AV7" i="1"/>
  <c r="AV15" i="1"/>
  <c r="AV29" i="1"/>
  <c r="AV58" i="1"/>
  <c r="AV5" i="1"/>
  <c r="AV11" i="1"/>
  <c r="AV31" i="1"/>
  <c r="AV33" i="1"/>
  <c r="AV16" i="1"/>
  <c r="AV37" i="1"/>
  <c r="AV41" i="1"/>
  <c r="AV43" i="1"/>
  <c r="AV45" i="1"/>
  <c r="AV18" i="1"/>
  <c r="AV22" i="1"/>
</calcChain>
</file>

<file path=xl/sharedStrings.xml><?xml version="1.0" encoding="utf-8"?>
<sst xmlns="http://schemas.openxmlformats.org/spreadsheetml/2006/main" count="1780" uniqueCount="919">
  <si>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</si>
  <si>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</si>
  <si>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</si>
  <si>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</si>
  <si>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</si>
  <si>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</si>
  <si>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</si>
  <si>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</si>
  <si>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</si>
  <si>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</si>
  <si>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</si>
  <si>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</si>
  <si>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</si>
  <si>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</si>
  <si>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</si>
  <si>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</si>
  <si>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</si>
  <si>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</si>
  <si>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</si>
  <si>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</si>
  <si>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</si>
  <si>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</si>
  <si>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</si>
  <si>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</si>
  <si>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</si>
  <si>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</si>
  <si>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</si>
  <si>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</si>
  <si>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</si>
  <si>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ACTA INICIO</t>
  </si>
  <si>
    <t>HORIZONTE DEL PROYECTO</t>
  </si>
  <si>
    <t>FECHA DE FINALIZACIÓN</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</si>
  <si>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</si>
  <si>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</si>
  <si>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</si>
  <si>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</si>
  <si>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</si>
  <si>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</si>
  <si>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</si>
  <si>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</si>
  <si>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</si>
  <si>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</si>
  <si>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</si>
  <si>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</si>
  <si>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</si>
  <si>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</si>
  <si>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</si>
  <si>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</si>
  <si>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</si>
  <si>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COMENTARIOS CALIFICACIÓN</t>
  </si>
  <si>
    <t>2012000020041</t>
  </si>
  <si>
    <t>Planeación</t>
  </si>
  <si>
    <t>ADECUACIÓN DE LA SEDE PARA EL MUSEO ARQUEOLoGICO DE SUCRE Y LA IMPLEMENTACIoN DE ACCIONES PARA EL FORTALECIMIENTO DE LA IDENTIDAD Y LA VALORACIoN DEL PATRIMONIO CULTURAL DE SUCRE</t>
  </si>
  <si>
    <t>BRINDAR UN ESPACIO ARQUITECTÓNICO ADECUADO PARA LA SEDE DEL MUSEO ARQUEOLÓGICO DEL DEPARTAMENTO DE SUCRE</t>
  </si>
  <si>
    <t>CULTURA</t>
  </si>
  <si>
    <t xml:space="preserve">´-Catalogos tecnicos (colecciones, exposiciones  temporales y museología)publicados 
- Bibliotecas dotadas y/o fortalecidas
- Investigaciones en antropología e historia públicadas
  - Área adecuada
Parques arqueologicos restaurados o mantenidos 
Objetos de aprendizaje virtuales implementados 
</t>
  </si>
  <si>
    <t>TERMINADO</t>
  </si>
  <si>
    <t xml:space="preserve">Terminado                                                             </t>
  </si>
  <si>
    <t>Consultoría</t>
  </si>
  <si>
    <t xml:space="preserve">SGR - Asignación para la inversión regional 60% </t>
  </si>
  <si>
    <t>Me permito solicitar el número de beneficiarios y la sostenibilidad</t>
  </si>
  <si>
    <t>No se recibió información</t>
  </si>
  <si>
    <t xml:space="preserve">Proyecto en estado terminado. Se está a la espera de respuesta por parte de tesorería, conforme a unos pagos pendientes por reportar en la plataforma Gesproy.
Así mismo, se encuentra pendiente la liquidación del contrato CM-008-2015, la cual se solicitó a contratación desde el 20 de abril de 2026 y a la fecha no se ha recibido respuesta, el 06 de mayo se realizó la reiteración y se está a la espera de respuesta. Una vez se cuente con el registro de los pagos del contrato CONV-015-2023, se podrá proceder con el cargue de la liquidación correspondiente. 
</t>
  </si>
  <si>
    <t>2012000100008</t>
  </si>
  <si>
    <t>Salud</t>
  </si>
  <si>
    <t>INVESTIGACIÓN INSTITUTO INVESTIGACIONES BIOMeDICAS DEL CARIBE. DEPARTAMENTO DE SUCRE</t>
  </si>
  <si>
    <t xml:space="preserve">Desarrollar capacidad instalada de 400 m2 de un laboratorio de biomedicas </t>
  </si>
  <si>
    <t>CIENCIA, TECNOLOGÍA E INNOVACIÓN</t>
  </si>
  <si>
    <t>´-Jovenes investigadores apoyados
- Investigaciones realizadas
- Instituto de investigación creados</t>
  </si>
  <si>
    <t>Convenios de Cooperación</t>
  </si>
  <si>
    <t xml:space="preserve">SGR - Asignación para la inversión en ciencia, tecnología e innovación </t>
  </si>
  <si>
    <t>Se requiere una mesa interna y apoyo jurídico, para preparar el anexo del acto administrativo de cierre, con el fin de pasarlo a estado termiado y dar las explicaciones de la ejecución reportada en gesproy y la del acta de liquidacion, para evitar reprográmación y que quede cerrado.</t>
  </si>
  <si>
    <t>2013000100022</t>
  </si>
  <si>
    <t>Desarrollo Económico</t>
  </si>
  <si>
    <t>Implementación DE UN PROGRAMA PARA EL DESARROLLO DE PRODUCTOS BIOTECNOLoGICOS PARA EL SECTOR AGRiCOLA EN EL DPTO DE SUCRE.</t>
  </si>
  <si>
    <t>DESARROLLAR BIOPRODUCTOS PARA EL CONTROL DE ENFERMEDADES DE CULTIVOS DE ARROZ Y ÑAME</t>
  </si>
  <si>
    <t xml:space="preserve">´- Personas Beneficiadas con las transferencias tecnológicas
- Cadenas productivas apoyadas con recursos
- Especias Vegetales Evaluadas  
- Muestras recolectadas y conservadas de material genético invitro
 - Proyectos cofinanciados en ciencia y tecnología
Laboratorios regionales adecuados </t>
  </si>
  <si>
    <t>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</si>
  <si>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 xml:space="preserve">NO hay reporte </t>
  </si>
  <si>
    <t>Proyecto terminado en espera de actas de liquidación para cerrar</t>
  </si>
  <si>
    <t>2013000100074</t>
  </si>
  <si>
    <t>Educación</t>
  </si>
  <si>
    <t>Implementación PROGRAMA DE FORMACIoN DE CAPACIDADES EN CIENCIA, TECNOLOGiA E INNOVACIoN EN EL DEPARTAMENTO DE SUCRE, CARIBE</t>
  </si>
  <si>
    <t>Busca la formación en campos especializados para profesionales del departamento de Sucre.</t>
  </si>
  <si>
    <t>´- Estudiantes beneficiados del programa de formación doctoral 
- Becas Otorgadas
- Beneficiarios de actividades de formación 
- Beneficiarios de subsidios educativos
- Cupos educativos ofrecidos 
- Estudiantes beneficiados
- Investigaciones Ejecutadas
- Eventos de sensibilización y apropiación de proyectos
- Grupos interdiscipinarios conformados con el fin de fortalecer la investigación en la universidad</t>
  </si>
  <si>
    <t>CONTRATADO EN EJECUCIÓN</t>
  </si>
  <si>
    <t xml:space="preserve">En ejecución                                                          </t>
  </si>
  <si>
    <t>Teniendo en cuenta la prórroga del proyecto, el avance de ejecución del 95,65 % y el envío de una nueva reprogramación, se solicita la realización de una mesa de trabajo con el fin de revisar y reestructurar dicha reprogramación, toda vez que actualmente se encuentra bajo metodología 1 y, conforme a los lineamientos vigentes de Gesproy y el DNP, debe ajustarse a metodología 2.</t>
  </si>
  <si>
    <t>Proyecto en estado de ejecución, cuenta con prórroga hasta 2028, por lo cual se requiere  reprogramación; sin embargo, esta no se ha realizado debido a que la información remitida se presentó en Metodología 1 y no en Metodología 2. Actualmente, no se ha recibido respuesta por parte de la sectorial, lo cual está geenrando reporte negativo en el IGPR del proyecto.</t>
  </si>
  <si>
    <t>2016000020007</t>
  </si>
  <si>
    <t>Infraestructura</t>
  </si>
  <si>
    <t>REHABILITACIÓN DE LA VIA SUCRE - LA GUARIPA - EL CAUCHAL, MUNICIPIOS DE SUCRE,  MAJAGUAL Y SAN BENITO ABAD EN EL DEPARTAMENTO DE SUCRE</t>
  </si>
  <si>
    <t xml:space="preserve">Se Mejorarán 56,32 km de vía incluyendo la construcción de 91 boxcoulvert y 4 puentes en la vía Sucre - la Guaripa - el Cauchal </t>
  </si>
  <si>
    <t>TRANSPORTE</t>
  </si>
  <si>
    <t>´- Obras de protección y adecuación realizadas
- Puentes en la red terciaria construídos
- Kilómetros de red vial rehabilitados y mantenidos</t>
  </si>
  <si>
    <t>Obra pública</t>
  </si>
  <si>
    <t>SGR - Asignación para la inversión regional 60%</t>
  </si>
  <si>
    <t>Para el mes de febrero se anexó liquidación de la obra del proyecto, sin embargo, se presentan inconsistencia entre el valor liquidado y lo ejecutado en la plataforma Gesproy, por lo que se solicita mesa de trabajo para coordinar valores y poder dar cierre al proyecto.</t>
  </si>
  <si>
    <t>Se encuentra en trámites el acta de liquidación del contrato de interventoría.</t>
  </si>
  <si>
    <t>Proyecto terminado, la sectorial remitió en el mes de febrero la  liquidación pendiente del cntrato de obra, sin embargo, se está a la espera de mesa de trabajo debido a inconsistencias en los valores y se encuentra en estructuración el acta de liquidación del contrato de interventoría. Se encuentra finalizado desde agosto 2024.</t>
  </si>
  <si>
    <t>2016000100048</t>
  </si>
  <si>
    <t>FORTALECIMIENTO DE CAPACIDADES EN CTEI EN NIÑOS, NIÑAS Y JOVENES DE LOS ESTABLECIMIENTOS EDUCATIVOS A TRAVES DEL PROGRAMA ONDAS EN EL DEPARTAMENTO DE SUCRE</t>
  </si>
  <si>
    <t xml:space="preserve">Se busca contribuir al fortalecimiento de una cultura CTel en el departamento de sucre por medio de la formación y desarrollo de grupos de investigación en las instituciones educativas. </t>
  </si>
  <si>
    <t xml:space="preserve">´-Medios de divulgación en ciencia, tecnología e  innovación financiados.
- Informes de ejecución aprobados
- Contenidos digitales desarrollados
- Equipos adquiridos 
- Evaluaciones de resultados realizadas
- Proyectos apoyados por el programa ondas
- Informes de ejecución aprobados </t>
  </si>
  <si>
    <t xml:space="preserve">Liquidado                                                             </t>
  </si>
  <si>
    <t>SGR - Asignación para la inversión en ciencia, tecnología e innovación</t>
  </si>
  <si>
    <t xml:space="preserve"> Proyecto se encuentra terminado con sus contratos liquidados, los inconvenientes presentes en el cargue de la información es en el contrato de interventoría CM-003-2018, ya que a la hora de subir la liquidación no permite cargarse los decimales y no cierra, además el proyecto presenta un error en el cargue, hay una información de ejecución reportada que no coincide con lo pagado, se deben reportar aproximadamente   $ 9.966.598,15, para completar lo pagado con lo ejecutado.
Además se solicitó a la sectorial el cuestionario de beneficiarios y sostenibilidad para su cierre.</t>
  </si>
  <si>
    <t>20170000020006</t>
  </si>
  <si>
    <t>MEJORAMIENTO EN PAVIMENTO ASFALTICO DE LA VÍA LAS TABLITAS - SAN MARCOS, MUNICIPIOS DE  EL ROBLE, CAIMITO Y SAN MARCOS,  DEPARTAMENTO DE  SUCRE</t>
  </si>
  <si>
    <t>40.96 km de vías terciarias mejoradas y 10 puentes construidos sobre la vía terciaria mejorada.</t>
  </si>
  <si>
    <t>´- Vía terciaria mejorada
- Puente construído en vía terciaria existente</t>
  </si>
  <si>
    <t>Se solicita remitir el acta final, el registro fotográfico de la ejecución final, el documento de otrosí modificatorio y la aprobación de pólizas conforme a lo establecido en dicho otrosí y en el acta final. Cabe resaltar que el proyecto presenta un avance de ejecución del 91,60 % y, a la fecha, no se ha recibido respuesta a las solicitudes de reprogramación realizadas en reiteradas ocasiones. Así mismo, el proyecto contaba con un horizonte hasta junio de 2024 y, pese a que la obra se encuentra finalizada, en la plataforma Gesproy continúa registrado en estado “CONTRATADO EN EJECUCIÓN”, por lo que se solicita dar pronta atención a lo requerido y realizar la respectiva actualización.</t>
  </si>
  <si>
    <t>Se encuentra en trámite las actas de liquidación del contrato de obra e interventoría.</t>
  </si>
  <si>
    <t>El proyecto se encuentra reportado como terminado por la sectorial, no obstante, en reiteradas ocasiones se ha solicitado la reprogramación necesaria para su cierre, sin que a la fecha se haya recibido respuesta. Actualmente, en la plataforma Gesproy el proyecto continúa en estado “Contratado en ejecución”, con horizonte vencido desde junio de 2024, situación que está generando afectación negativa en el indicador IGPR. Si bien se han remitido actas finales, es importante precisar que, mientras no se realice la respectiva reprogramación, no es posible efectuar el cierre del proyecto en la plataforma.</t>
  </si>
  <si>
    <t>2017000100029</t>
  </si>
  <si>
    <t>Aplicación de técnicas de ingeniería que aumente la resiliencia de los agroecosistemas a la variabilidad climática en el Departamento de   Sucre</t>
  </si>
  <si>
    <t xml:space="preserve">Evaluar la resiliencia frente a la variabilidad climática de 200 unidades productivas seleccionadas de las cinco sub regiones en el Departamento de Sucre </t>
  </si>
  <si>
    <t>´- Artículos publicados en revistas indexadas nacionales e internacionales
- Libros y/o capítulos de libros resultados de investigación
- Obras y/o productos de investigación, creación en artes, arquitectura y diseño que cumplen con los requerimientos mínimos de calidad exigidos por colciencias</t>
  </si>
  <si>
    <t>Interadministrativos</t>
  </si>
  <si>
    <t>Teniendo en cuenta que el proyecto se encuentra en estado “Terminado” y que se han realizado varias reuniones orientadas a su cierre, se solicita remitir el acta de liquidación y/o los avances de los compromisos establecidos, con el fin de conocer el progreso del proceso de cierre del proyecto, así como las acciones adoptadas y/o las modificaciones que se hayan presentado.</t>
  </si>
  <si>
    <t xml:space="preserve">No hay reporte </t>
  </si>
  <si>
    <t>2017000100035</t>
  </si>
  <si>
    <t>INVESTIGACIÓN DE LA EFECTIVIDAD Y EFICIENCIA DE LA FICOREMEDIACIÓN PARA LA RECUPERACIÓN DE UN ECOSISTEMA HÍDRICO Y SU CAPACIDAD PRODUCTIVA EN EL DEPARTAMENTO DE  SUCRE</t>
  </si>
  <si>
    <t>Evaluar la calidad física, química y microbiológica del agua y sus afectaciones en la integridad ecológica y ambiental del CCSA.</t>
  </si>
  <si>
    <t xml:space="preserve">´- Artículos publicados en revistas indexadas nacionales e internacionales
- Libros y/o capítulos de libros resultados de investigación
</t>
  </si>
  <si>
    <t>·         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</si>
  <si>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2017002700058</t>
  </si>
  <si>
    <t>MEJORAMIENTO EN PAVIMENTO ASFÁLTICO DE LA VÍA BERRUGAS - SAN ONOFRE  Y RAMAL RINCÓN DEL MAR, MUNICIPIO DE SAN ONOFRE, DEPARTAMENTO DE     SUCRE</t>
  </si>
  <si>
    <t>MEJORAMIENTO DEL PAVIMENTO ASFALTICO DE LA VIA BERRUGA, SAN ONOFRE Y RINCON DEL MAR EN EL MUNICIPIO DE SAN ONOFRE</t>
  </si>
  <si>
    <t>´- Puente construído en vía secundaria existente 
- Vías regionales o urbanas inventariadas
- Vía secundaria mejorada</t>
  </si>
  <si>
    <t xml:space="preserve">SGR - Asignaciones directas
SGR - Asignación para la inversión local según NBI y municipios de cuarta, quinta y sexta categoría
SGR Asignación para la paz - proyectos de infraestructura de transporte para la implementación del acuerdo de paz.
SGR Asignación para la paz - proyectos de infraestructura de transporte para la implementación del acuerdo de paz
</t>
  </si>
  <si>
    <t>Teniendo en cuenta que el proyecto se encuentra en estado “Terminado”, se solicita remitir el acta de liquidación y/o las acciones tomadas frente al proyecto, así como las pólizas actualizadas con el acta final del contrato con su respectiva aprobación para proceder con el cierre del proyecto en el aplicativo Gesproy- SGR.</t>
  </si>
  <si>
    <t>Se encuentra en revisión el acta de liquidación del contrato de obra e interventoría por parte de los contratistas.</t>
  </si>
  <si>
    <t>El proyecto se encuentra terminado desde febrero de 2024 y actualmente está a la espera de la suscripción del acta de liquidación, requisito necesario para proceder con su cierre.</t>
  </si>
  <si>
    <t>2020000020058</t>
  </si>
  <si>
    <t>Implementación de agronegocios hortofrutícolas intensivos con pequeños productores de los municipios de Sucre Guaranda y Majagual en el departamento de  Sucre</t>
  </si>
  <si>
    <t xml:space="preserve">Establecer 300 hectáreas de cultivo hortofrutícola (Melón, patilla, Berenjena y plátano) con un plan de asistencia técnica para los 300 productores agropecuarios de los municipios de Majagual, Sucre y Guaranda, Departamento de Sucre. </t>
  </si>
  <si>
    <t>AGRICULTURA Y DESARROLLO RURAL</t>
  </si>
  <si>
    <t>´- Organizaciones de productos formales apoyadas
- Productores apoyados con activos productivos y de comercialización
- Pequeños productores asistidos técnicamente</t>
  </si>
  <si>
    <t xml:space="preserve">Interventoría                                                         </t>
  </si>
  <si>
    <t xml:space="preserve">Departamento de Sucre, SGR - Asiganacion para la inversion regional 40% </t>
  </si>
  <si>
    <t>”. 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</si>
  <si>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Continúa suspendido </t>
  </si>
  <si>
    <t>El proyecto se encuentra suspendido desde septiembre de 2025 y presenta horizonte de ejecución hasta el mismo mes. Actualmente está a la espera de su reinicio, por lo cual se debe realizar seguimiento permanente y, una vez se autorice dicho reinicio, adelantar la correspondiente reprogramación, con el fin de ampliar el horizonte del proyecto y garantizar la continuidad de su ejecución. Adicionalmente, el proyecto presenta un PAC y recursos congelados; actualmente se adelanta el proceso correspondiente y se desarrollan mesas de trabajo con el DNP para resolver dicha situación.</t>
  </si>
  <si>
    <t>2020000020076</t>
  </si>
  <si>
    <t>Elaboración del Plan Vial departamental y los Planes Viales municipales de la red vial secundaria y terciaria en el departamento de  Sucre</t>
  </si>
  <si>
    <t xml:space="preserve">se realizará el Levantamiento de INVENTARIO VIAL de la red secundaria del Departamento y de la red terciaria de cada municipio. - Elaboración del PLAN VIAL DEPARTAMENTAL - Elaboración de los 26 PLANES VIALES MUNICIPALES. - CATEGORIZACIÓN vial del Departamento y elaboración de la - CATEGORIZACIÓN vial de los 26 municipios del Departamento de Sucre . para dar cumplimiento con esto a los requerimientos, pilares y políticas del gobierno nacional, departamental y municipal. </t>
  </si>
  <si>
    <t>´- Documentos de investigación elaborados
- Documentos de planeación</t>
  </si>
  <si>
    <t>Se solicita remitir acta de liquidación de los contratos y sostenibilidad del proyecto para proceder con el cierre del proyecto en el aplicativo Gesproy-SGR.</t>
  </si>
  <si>
    <t>Se encuentra en revisión el acta de liquidación del contrato de interventoría por parte de los contratistas.</t>
  </si>
  <si>
    <t>El proyecto se encuentra terminado desde  octubre de 2024  y actualmente está a la espera de la suscripción del acta de liquidación del contrato de interventoría y del acta donde se identifique que ya se hizo entrega de todos los planes viales a los diferentes Municipios.</t>
  </si>
  <si>
    <t>2020000100644</t>
  </si>
  <si>
    <t>Implementación de estrategias para la adopción de procesos de innovación en las unidades productivas agropecuarias que atiendan las problemáticas derivadas por la emergencia económica social y ecológica por el COVID-19 en el departamento de  Sucre</t>
  </si>
  <si>
    <t xml:space="preserve">Financiar 267 empresarios y emprendedores innovadores para que alcancen el máximo potencial de sus empresas, mediante 4 retos o fases que integran acciones de transferencia de tecnología y conocimiento </t>
  </si>
  <si>
    <t>´- Organizaciones beneficiadas a través de la estrategia de gestión I+D+I
- Proyectos financiados para el desarrollo tecnológico y la innovación</t>
  </si>
  <si>
    <t>·         ”. El proyecto se encuentra en ejecución desde el 15 de diciembre de 2021; no obstante, no se ha reportado información de ejecución en la plataforma desde el mes de octubre de 2024, situación que genera alertas para el adecuado seguimiento y control del proyecto. El mismo cuenta con horizonte de ejecución hasta diciembre de 2025 y, a la fecha, no se dispone de información actualizada ni se ha recibido pronunciamiento por parte de la supervisión respecto a su estado actual. En atención a lo anterior, se solicita la programación de una mesa de trabajo con el fin de revisar el avance del proyecto, definir las acciones de seguimiento correspondientes y garantizar la actualización oportuna de la información en la plataforma, así como la remisión de la información relacionada con las modificaciones realizadas o las actuaciones que procedan para el proyecto.</t>
  </si>
  <si>
    <t>El proyecto cuenta con horizonte de ejecución hasta diciembre de 2025 y, a la fecha, no se dispone de información actualizada ni se ha recibido respuesta por parte de la sectorial responsable respecto al estado actual del mismo</t>
  </si>
  <si>
    <t>2020002700073</t>
  </si>
  <si>
    <t>Fortalecimiento  A ORGANIZACIONES DE PESCADORES ARTESANALES MEDIANTE DOTACIÓN DE EQUIPOS DE PESCA ASISTENCIA TÉCNICA Y REPOBLAMIENTO DE BOCACHICO EN LOS COMPLEJOS CENAGOSOS DE LA SUBREGIÓN SAN JORGE Y LA MOJANA  DEL DEPARTAMENTO DE   Sucre</t>
  </si>
  <si>
    <t xml:space="preserve">Fortalecer 12 Asociaciones de pescadores artesanales para incrementar la productividad íctica en los complejos cenagosos de la Subregión San Jorge y La Mojana del Departamento de Sucre. </t>
  </si>
  <si>
    <t>´- Servicio de divulgación y socialización 
- Servicios de apoyo al fomento de la pesca y la agricultura (producto principal del proyecto)</t>
  </si>
  <si>
    <t>Prestación de Servicios</t>
  </si>
  <si>
    <t>Teniendo en cuenta que el proyecto se encuentra en estado “Terminado”, se solicita el acta de liquidación y/o las acciones adelantadas frente al proyecto, así como las modificaciones realizadas y las pólizas actualizadas aprobadas con acta final.</t>
  </si>
  <si>
    <t>2021000020052</t>
  </si>
  <si>
    <t>Mejoramiento en pavimento rígido de la vía la unión -limites con córdoba en el departamento de  Sucre</t>
  </si>
  <si>
    <t xml:space="preserve">Construcción de 4,17 km de pavimento rígido en la vía que intercomunica al municipio de la Unión con el corregimiento las Palmitas en los límites del municipio de Sahagún Córdoba. </t>
  </si>
  <si>
    <t>´-  Vías regionales o urbanas inventariadas 
- Vía terciaria mejorada</t>
  </si>
  <si>
    <t>SGR - Asignación para la inversión regional 40%</t>
  </si>
  <si>
    <t>Se solicita remitir el avance de ejecución correspondiente al mes de abril de 2026 o, en su defecto, la información sobre las modificaciones realizadas al proyecto, junto con las pólizas actualizadas derivadas del reinicio o de las prórrogas, debidamente aprobadas. Así mismo, considerando que el proyecto registra un horizonte en Gesproy hasta el mes de abril se requiere anexar el acta final en caso de que haya finalizado; de lo contrario, deberá remitirse la documentación correspondiente a la prórroga</t>
  </si>
  <si>
    <t>Avance de ejecución del mes de abril de 2026. En formato Excel.
Documento de soporte de avance de ejecución mes de abril 2026.
Informe de balance final de obra
Acta de terminación del contrato de obra
Acta de terminación del contrato de interventoría</t>
  </si>
  <si>
    <t>Proyecto se encuentra terminado  desde el mes de abril de 2026, sE solicita actualización de polizas con todas las modificaciones presentadas en el proyecto para poderlo pasar a estado terminado</t>
  </si>
  <si>
    <t>2021000100333</t>
  </si>
  <si>
    <t>Fortalecimiento de las capacidades en CTeI mediante la apropiación social del conocimiento para impulsar el desarrollo productivo y las industrias creativas en el departamento de  Sucre</t>
  </si>
  <si>
    <t xml:space="preserve">Fortalecimiento de los conocimientos científicos, tecnológicos e innovadores para el desarrollo de soluciones sostenibles a problemáticas locales de las comunidades del departamento. </t>
  </si>
  <si>
    <t>´- Estrategias de intercambio de conocimiento científico-tecnológico y de innovación con otros saberes financiadas
- Estrategias de gestión del conocimiento en cultura y apropiación social de ciencia, tecnología e innovación realizados.
- Estrategias de fomento de la participación ciudadana en ciencia, tecnología, e innovación implementadas</t>
  </si>
  <si>
    <t>SGR - Asignación para la inversión en ciencia, tecnología e innovación - Convocatorias</t>
  </si>
  <si>
    <t>Teniendo en cuenta que el proyecto se encuentra con una ejecución física del 100%, se solicita remitir acta final y pólizas actualizadas aprobadas de los contratos y/o modificaciones si se han presentado</t>
  </si>
  <si>
    <t>El proyecto se encuentra físicamente terminado; no obstante, en la plataforma continúa registrándose como en ejecución, motivo por el cual el DNP lo sigue calificando bajo dicha condición, al no haberse reportado el acta final desde septiembre de 2024</t>
  </si>
  <si>
    <t>2021000100361</t>
  </si>
  <si>
    <t>Fortalecimiento de establecimientos educativos oficiales que implementen la jornada única mediante la apropiación social del conocimiento para desarrollar capacidades y habilidades en CTeI en el departamento de  Sucre</t>
  </si>
  <si>
    <t xml:space="preserve">Mejorar las capacidades en CTeI para el fortalecimiento de habilidades y capacidades científicas, tecnológicas y de innovación en niveles de educación básica y media de establecimientos educativos oficiales con Proyecto Educativo Institucional (PEI) </t>
  </si>
  <si>
    <t>Teniendo en cuenta que el proyecto se encuentra con una ejecución física del 100%, se solicita remitir acta final con pólizas actualizadas y aprobadas y/o modificaciones si se han presentado.</t>
  </si>
  <si>
    <t>El proyecto se encuentra físicamente terminado; sin embargo, en la plataforma continúa registrándose como en ejecución, razón por la cual el DNP lo sigue calificando bajo dicha condición, al no haberse reportado el acta final desde septiembre de 2024</t>
  </si>
  <si>
    <t>2021000100370</t>
  </si>
  <si>
    <t>Incremento  de la innovación y desarrollo tecnológico en el tejido empresarial para el fortalecimiento de la competitividad del departamento de  Sucre</t>
  </si>
  <si>
    <t xml:space="preserve">Aumentar los niveles de Innovación en las Micro, Pequeñas y Medianas Empresas del departamento </t>
  </si>
  <si>
    <t xml:space="preserve">´- Proyectos financiados para el desarrollo tecnológico y la innovación </t>
  </si>
  <si>
    <t>Teniendo en cuenta que el proyecto se encuentra en estado “Terminado”, se solicita remitir pólizas con acta final aprobadas y actas de liquidación para cada uno de los contratos suscritos y/o modificaciones si se han presentado</t>
  </si>
  <si>
    <t>2021000100520</t>
  </si>
  <si>
    <t>Fortalecimiento de Capacidades en CTeI para la conservación preservación y restauración de los ecosistemas a través de la consolidación de negocios verdes en el Departamento de   Sucre</t>
  </si>
  <si>
    <t>Fortalecer las capacidades para la conservación, preservación y restauración de los ecosistemas a traves de los negocios verdes en el Departamento de sucre.</t>
  </si>
  <si>
    <t>´- Cursos especializados para mejorar competencias de desarrollo tecnológico e innovación a nivel industrial
- Proyectos financiados para el desarrollo tecnológico y la innovación 
- Organizaciones beneficiadas a través de la estrategia de gestión de la I+D+I</t>
  </si>
  <si>
    <t>SGR - Asignación para la ciencia, tecnología e innovación – Convocatorias 2021 -Ambiente y desarrollo sostenible</t>
  </si>
  <si>
    <t>Conforme a la información remitida el mes anterior, en la que se indicó el reinicio y finalización de la ejecución física del proyecto, se solicita remitir el acta de reinicio, la actualización de pólizas, la ejecución del último mes (marzo) y el acta final, teniendo en cuenta que dicha ejecución no fue reportada, lo que afecta la calificación del proyecto, adicionalmente, se recuerda que la plataforma GESPROY no permite cargar meses vencidos, por lo que el retraso en el envío puede generar inconsistencias para su cierre.</t>
  </si>
  <si>
    <t>Se envía acta de reinicio del
proyecto. A la espera del informe
final para su respectivo informe y
firma del acta final.</t>
  </si>
  <si>
    <t>Este Proyecto  se encontraba suspendido desde el 11 de diciembre de 2025 y fue reiniciado el 12 de marzo de 2026. De acuerdo con lo informado por la sectorial, el proyecto culminó en el mes de marzo, sin embargo, no fue posible realizar la reprogramación debido a que no se remitió la ejecución correspondiente a dicho mes, lo cual impide su cargue en la plataforma.
Actualmente, se está a la espera de que la sectorial remita  la ejecución del último mes, con el fin de proceder a pasar a estado "terminado" el proyecto.</t>
  </si>
  <si>
    <t>2021002700109</t>
  </si>
  <si>
    <t>Construcción del Laboratorio de salud pública del Departamento de  Sucre</t>
  </si>
  <si>
    <t xml:space="preserve">Construcción de Laboratorio de Salud Pública del Departamento de Sucre con un área construida de 1.410,82 m2 constituidas con 4 unidades, unidad para la vigilancia de eventos de interés en salud pública, unidad para la vigilancia de factores de riesgo del ambiente y del consumo, unidad técnica común, y unidad de apoyo. </t>
  </si>
  <si>
    <t>SALUD Y PROTECCIÓN SOCIAL</t>
  </si>
  <si>
    <t xml:space="preserve">´- Laboratorios construidos </t>
  </si>
  <si>
    <t>”. Se solicita remitir avance de ejecución del mes de abril de 2026 y/o modificaciones si se han presentado, además remitir pólizas actualizadas con pantallazo de aprobación de la modificación No 1 del contrato de interventoría, y pólizas con aprobación de los modificatorios No 2(adición de recursos) y modificación No 4 (Prórroga).</t>
  </si>
  <si>
    <t>Avance de ejecución del mes de abril de 2026. En formato Excel.</t>
  </si>
  <si>
    <t>Proyecto en estado de ejecución, con contrato en ejecución y calificación de 90 puntos en el mes de febrero, conforme a su avance de ejecución, teniendo en cuenta el costo, la programación y la brecha entre lo físico y lo financiero. ( A la espera de que se remita información de algunas pólizas de los contratos para ser registrada en la plataforma)</t>
  </si>
  <si>
    <t>2021002700138</t>
  </si>
  <si>
    <t>Construcción de pavimento en concreto rígido en vías urbanas del barrio villa angela en el municipio de Sincelejo departamento de  Sucre</t>
  </si>
  <si>
    <t xml:space="preserve">La alternativa de solución es la construcción de pavimento en concreto rígido de una longitud de 386ml con dos carriles (vía bidireccional o de doble sentido) y confinada con andenes y bordillos en ambos extremos, la vía consta de una sección transversal de 6 metros de ancho. Incluye además actividades de Gestión ambiental y social, Plan de manejo de Transito, apoyo a la supervisión e Interventoría. Con un tiempo de ejecución de 6 Meses y 6 meses cierre financiero (Para un total de 12 meses). </t>
  </si>
  <si>
    <t>via urbana mejorada</t>
  </si>
  <si>
    <t>PARA CIERRE</t>
  </si>
  <si>
    <t>Proyecto en estado ‘Para cierre’, en proceso de elaboración del acto administrativo requerido para formalizar su cierre</t>
  </si>
  <si>
    <t>2021002700163</t>
  </si>
  <si>
    <t>Estudios  y diseños para la construcción y dotación de una estación de bomberos en el municipio de Santiago de Tolú Departamento de  Sucre</t>
  </si>
  <si>
    <t>Compra de predio y realización de estudios y diseños de arquitectura e ingeniería</t>
  </si>
  <si>
    <t>GOBIERNO TERRITORIAL</t>
  </si>
  <si>
    <t>Estudios de preinversión elaborados</t>
  </si>
  <si>
    <t>Compraventa</t>
  </si>
  <si>
    <t>SGR - Asignaciones directas</t>
  </si>
  <si>
    <t>Proyecto terminado, pendiente por cerrar  en Gesproy, debido a errores en el aplicativo. Caso escalado a DNP, pero, no se ha contado con respuestas concretas, la problemática radica en que en Gesproy aparece una supervisión por parte del DNP, la cual nunca se le ha dado "aprueba y envía" por parte de ellos y presenta alertas que no permiten cerrar este proyecto.</t>
  </si>
  <si>
    <t>2021002700184</t>
  </si>
  <si>
    <t>Apoyo a la asociatividad para el Desarrollo Sostenible del Sector Productivo en el municipio de Sincelejo del departamento de  Sucre</t>
  </si>
  <si>
    <t xml:space="preserve">Brindar el servicio de asistencia técnica y acompañamiento productivo y empresarial a 180 personas que hacen parte de los vendedores ambulantes del municipio de Sincelejo </t>
  </si>
  <si>
    <t>COMERCIO, INDUSTRIA Y TURISMO</t>
  </si>
  <si>
    <t>personas beneficiadas</t>
  </si>
  <si>
    <t>2021002700364</t>
  </si>
  <si>
    <t>Rehabilitación Y MEJORAMIENTO DE LA ZONA TURÍSTICA DE LA AVENIDA PRIMERA FASE II ENTRE LA CALLE 15 Y LA CALLE 25 DEL MUNICIPIO DE SANTIAGO DE TOLÚ DEPARTAMENTO DE  Sucre</t>
  </si>
  <si>
    <t xml:space="preserve">Intervención del espacio público en el Malecón de la Playa, desde la calle 15 hasta la calle 25, adecuándolo para la circulación y movilidad segura para los turistas y habitantes del municipio de Santiago de Tolú e integrándolo con la infraestructura existente, que va desde la carrera 15 hasta el puente del aeropuerto; la cual tiene una longitud aproximada de 786.83 metros lineales. </t>
  </si>
  <si>
    <t xml:space="preserve">´- Equipamientos construidos </t>
  </si>
  <si>
    <t xml:space="preserve">Suspendido                                                            </t>
  </si>
  <si>
    <t>De conformidad con lo informado en el mes de febrero, el proyecto se encuentra suspendido. En este sentido, se requiere información sobre el estado del mismo. En caso de que el proyecto haya sido reiniciado, se solicita remitir la minuta de reinicio, junto con las pólizas actualizadas y la respectiva reprogramación del proyecto</t>
  </si>
  <si>
    <t>El contrato de obra e interventoría se encuentran suspendidos.</t>
  </si>
  <si>
    <t>Proyecto en estado “en ejecución”, con contrato actualmente suspendido y en espera de su reinicio. Esta situación obedece a afectaciones en la obra derivadas del  frente frío, actualmente se encuentran en evaluación los daños y en definición las acciones a seguir. Se encuentra suspendido desde diciembre de 2025</t>
  </si>
  <si>
    <t>2022000020011</t>
  </si>
  <si>
    <t>Implementación de las rutas de emprendimiento y empleabilidad en el marco de la estrategia Sucre Escucha en el departamento de     Sucre</t>
  </si>
  <si>
    <t>Implementación de las rutas de emprendimiento y empleabilidad para 2600 jóvenes entre 18 y 28 años de los 26 municipios del departamento de Sucre. En donde se contemplan 1820 jóvenes en la ruta del emprendimiento y 780 jóvenes en la ruta de la empleabilidad, caracterizados como población vulnerable y teniendo como distribución 50% hombres y 50% mujeres.</t>
  </si>
  <si>
    <t>INCLUSIÓN SOCIAL Y RECONCILIACIÓN</t>
  </si>
  <si>
    <t>´- Malecón construído</t>
  </si>
  <si>
    <t>”. Se solicita remitir acta de aprobación de pólizas de acuerdo con el acta final y acta de liquidación para proceder al cierre del proyecto</t>
  </si>
  <si>
    <t>2022000020043</t>
  </si>
  <si>
    <t>Mejoramiento de vías urbanas en los Municipios de Colosó y Morroa Departamento de    Sucre</t>
  </si>
  <si>
    <t xml:space="preserve">Mejoramiento de 1,23 Kilómetros de vías urbanas para la circulación segura de vehículos y peatones en el municipio de Coloso y Morroa en el Departamento de Sucre. </t>
  </si>
  <si>
    <t>´- Hogares con acompañamiento familiar
-Proyectos productivos formulados
- Personas vinculadas a empleo formal para población vulnerable</t>
  </si>
  <si>
    <t>Conforme a la información remitida, la Secretaría de Planeación se encuentra adelantando el trámite correspondiente para la expedición del acto administrativo de cierre del proyecto</t>
  </si>
  <si>
    <t>En espera que el acto administrativo de cierre del proyecto sea entregado por parte de la secretaría de Planeación departamental y subir en plataforma Gesproy.</t>
  </si>
  <si>
    <t>2022002700005</t>
  </si>
  <si>
    <t>Estudios y diseños para la construcción y dotación del centro multipropósito en el municipio de  Santiago de Tolú Sucre</t>
  </si>
  <si>
    <t xml:space="preserve">Estudios y diseños de infraestructura con capacidad para 1200 personas con todos los espacios y requerimientos técnicos y arquitectónicos correspondientes y adquisición de predio con área estimada de 14.697 m2. </t>
  </si>
  <si>
    <t>´-Estudios de preinversion realizados</t>
  </si>
  <si>
    <t>Se solicita remitir el acta de liquidación del proyecto, el formato de sostenibilidad e indicadores, así como las pólizas actualizadas correspondientes al acta final y/o a las modificaciones que se hayan realizado</t>
  </si>
  <si>
    <t>Se encuentra en trámite las actas de liquidación del contrato de consultoría e interventoría.</t>
  </si>
  <si>
    <t>El proyecto se encuentra en estado “Terminado”, a la espera de la suscripción de las actas de liquidación de los contratos, así como del diligenciamiento del formato de sostenibilidad e indicadores, requisitos necesarios para proceder con su cierre. Su fecha de terminación fue en julio de 2025</t>
  </si>
  <si>
    <t>2022002700147</t>
  </si>
  <si>
    <t>Construcción del malecón y adecuación de la avenida primera del municipio de  Sucre</t>
  </si>
  <si>
    <t xml:space="preserve">SE REALIZO LA CONSTRUCCIÓN UN MALECÓN PARA EL DESARROLLO TURÍSTICO REGIONAL EN EL MUNICIPIO DE SUCRE, DEPARTAMENTO DE SUCRE. </t>
  </si>
  <si>
    <t xml:space="preserve">´-Malecón construído </t>
  </si>
  <si>
    <t>2023002700029</t>
  </si>
  <si>
    <t>Construcción de parques lineales en las Calles 28 y 29 entre Carreras 26 Y 27 en la zona urbana del municipio de Corozal departamento de   Sucre</t>
  </si>
  <si>
    <t>Construcción de 2 parques ubicados en las calles 28 y 29 en el área Urbana del Municipio de Corozal de un área aproximada de 548.10 m2 y 404.27 respectivamente.</t>
  </si>
  <si>
    <t>DEPORTE Y RECREACIÓN</t>
  </si>
  <si>
    <t>Parques construídos</t>
  </si>
  <si>
    <t>Orden de pago de acta final del contrato de obra</t>
  </si>
  <si>
    <t>2023002700030</t>
  </si>
  <si>
    <t>Mejoramiento en Pavimento Asfáltico de la Vía Varsovia - El Delirio Municipio de Sincelejo Departamento de   Sucre</t>
  </si>
  <si>
    <t xml:space="preserve">Mejorar 3,269 km de pavimento asfáltico de la vía Varsovia El Delirio, tramo localizado en el municipio de Sincelejo que va del K12+324 al K15+593, con un ancho de calzada de 6,3 m; 2 carriles de 3,15 mts cada uno, bermas de 0,8 m de ancho a lado y lado de la vía, con bermas de protección para estabilidad de la carpeta asfáltica y empedrado de protección. </t>
  </si>
  <si>
    <t>Vía secundaria mejorada</t>
  </si>
  <si>
    <t xml:space="preserve">SGR - Asignación para la inversión regional 60%           Vigencias Futuras                 </t>
  </si>
  <si>
    <t>”. Se solicita remitir la ejecución correspondiente al mes de abril de 2026 y/o las modificaciones que hayan sido realizadas, si aplica.</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</si>
  <si>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</si>
  <si>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Proyecto en estado de ejecución, con contrato en ejecución y calificación de 100  puntos en el mes de febrero, conforme a su avance de ejecución, teniendo en cuenta el costo, la programación y la brecha entre lo físico y lo financiero.</t>
  </si>
  <si>
    <t>2023002700076</t>
  </si>
  <si>
    <t>Energía</t>
  </si>
  <si>
    <t>Subsidio al cargo por conexión e instalación interna del servicio de gas natural para usuarios estrato 1 y 2 del departamento de  Sucre</t>
  </si>
  <si>
    <t>Conexión e instalación interna del servicio de gas natural, el cual beneficiará a 5315 usuarios e impactará a 16.477 personas de los estratos 1 y 2 de diferentes corregimientos ubicados en el departamento de Sucre.</t>
  </si>
  <si>
    <t>MINAS Y ENERGÍA</t>
  </si>
  <si>
    <t>Usuarios beneficiados con subsidio a la oferta</t>
  </si>
  <si>
    <t>Se solicita remitir acta final del contrato de obra e interventoría con sus respectivas pólizas actualizadas</t>
  </si>
  <si>
    <t xml:space="preserve">Nos permitimos informar que este presenta un avance del 100 % en su ejecución física. No obstante, se encuentra pendiente la culminación de la ejecución financiera, requisito necesario para proceder con la elaboración del acta final. </t>
  </si>
  <si>
    <t>El proyecto se encuentra finalizado, sin embargo, no se ha remitido el acta final, lo que ocasiona que en la plataforma continúe en estado “en ejecución”, generando una baja calificación.</t>
  </si>
  <si>
    <t>2023002700077</t>
  </si>
  <si>
    <t>Construcción de unidades sanitarias para vivienda rural dispersa de los municipios de San Marcos y San Juan de Betulia en el Departamento de   Sucre</t>
  </si>
  <si>
    <t xml:space="preserve">Mejoramiento de 66 viviendas con la construcción de unidades sanitarias en la zona rural dispersa de los municipios de San Marcos y San Juan de Betulia. </t>
  </si>
  <si>
    <t>VIVIENDA, CIUDAD Y TERRITORIO</t>
  </si>
  <si>
    <t xml:space="preserve">Viviendas beneficiadas con la construcción de unidades sanitarias </t>
  </si>
  <si>
    <t>·         Conforme a la información remitida, la Secretaría de Planeación se encuentra adelantando el trámite correspondiente para la expedición del acto administrativo de cierre del proyecto.</t>
  </si>
  <si>
    <t>2023002700082</t>
  </si>
  <si>
    <t>Implementación del programa de alimentación escolar -PAE- en el Departamento de  Sucre</t>
  </si>
  <si>
    <t xml:space="preserve">Suministrar 3.001.104 raciones de apoyo alimentario complementario a estudiantes en la jornada escolar de establecimientos educativos del Departamento de Sucre </t>
  </si>
  <si>
    <t>EDUCACIÓN</t>
  </si>
  <si>
    <t>Raciones contratadas</t>
  </si>
  <si>
    <t>2023002700134</t>
  </si>
  <si>
    <t>Rehabilitación de la vía secundaria que comunica los municipios de Toluviejo  Colosó en el Departamento de   Sucre</t>
  </si>
  <si>
    <t xml:space="preserve">Mejoramiento de la vía que comunica los municipios de Toluviejo y Colosó del departamento de Sucre, con pavimento flexible. La carretera tiene una longitud aproximada de 12.1 kilómetros, conecta los centros poblados de La Siria (Toluviejo), Coraza, La Estación, Estambul (Colosó) y finaliza en la cabecera municipal de Colosó. </t>
  </si>
  <si>
    <t>Vía secundaria rehabilitada</t>
  </si>
  <si>
    <t>Se solicita remitir el avance de ejecución correspondiente al mes de abril de 2026 y/o las modificaciones realizadas</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</si>
  <si>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</si>
  <si>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Proyecto en estado de ejecución, con contrato en ejecución y calificación de 88,7  puntos en el mes de marzo, conforme a su avance de ejecución, teniendo en cuenta el costo, la programación y la brecha entre lo físico y lo financiero.</t>
  </si>
  <si>
    <t>2023002700150</t>
  </si>
  <si>
    <t>Fortalecimiento de las líneas productivas del Maíz Mecanizado y Arroz Secano Mecanizado de los pequeños productores afectados por la ola invernal en las Subregiones San Jorge y Mojana en el departamento de  Sucre</t>
  </si>
  <si>
    <t xml:space="preserve">Mejorar las condiciones de producción del arroz secano y del maíz con la entrega de banco de maquinaria a cada una de las 8 asociaciones de los municipios de San Marcos, La unión, Sucre, San Benito, Caimito, Guaranda y Majagual en el Departamento de Sucre . </t>
  </si>
  <si>
    <t>´- Unidades productivas beneficiadas
- Pequeños productores rurales asistidos técnicamente</t>
  </si>
  <si>
    <t>El mes anterior fue remitido por parte de ustedes un informe que no presenta claridad respecto a la ejecución de la actividad “Realizar implementación plan de fortalecimiento organizacional”, por tal razón, se solicita remitir un informe aclaratorio en el que se detalle la línea de tiempo y la fecha real de finalización de dicha actividad. Así mismo, se sugiere realizar una mesa de trabajo con el fin de presentar esta información de manera clara y precis</t>
  </si>
  <si>
    <t>Documento de soportes de ejecución mes de abril de 2026</t>
  </si>
  <si>
    <t>Proyecto pasó a terminado, se debe solicitar liquidación para proceder con su cierre.</t>
  </si>
  <si>
    <t>2023002700171</t>
  </si>
  <si>
    <t>Construcción de Obras para la Mitigación del Riesgo de Inundación y Socavación en el barrio Altos del Rosario en el Municipio de Sincelejo   Sucre</t>
  </si>
  <si>
    <t xml:space="preserve">Construcción de 9.828,35 m2 de obras para la Mitigación del Riesgo de Inundación y Socavación en el Barrio Altos del Rosario, en el Municipio de Sincelejo – Sucre, distribuidos en: la construcción de 5.319,20 m2 de vía en pavimento; construcción de 1.738,11 m2 de andenes; 2.253,51 m2 para la canalización de las aguas a través de canal principal y 517,53 m2 para la canalización de las aguas a través de canal segundario. </t>
  </si>
  <si>
    <t>Obras de infraestructura para la reducción del riesgo de desastres realizadas</t>
  </si>
  <si>
    <t>SGR - Asignaciones Directas</t>
  </si>
  <si>
    <t>Avance de ejecución del mes de abril 2026 y documento soporte de ejecución mes de abril de 2026.</t>
  </si>
  <si>
    <t>Proyecto en estado de ejecución, con contrato en ejecución y calificación de 79,04  puntos en el mes de marzo, conforme a su avance de ejecución, teniendo en cuenta el costo, la programación y la brecha entre lo físico y lo financiero.</t>
  </si>
  <si>
    <t>2023002700175</t>
  </si>
  <si>
    <t>Apoyo al programa de alimentación escolar -PAE- para la vigencia 2024 en los establecimientos educativos oficiales del departamento de   Sucre</t>
  </si>
  <si>
    <t xml:space="preserve">Incrementar o mantener los niveles de permanencia de los niños, niña y jovenes en la jormada academica de los establecimientos educativos oficiales del departamento de Sucre, Beneficiando a 33.560 estudiantes - con 5.169 cupos modalidad complemento almuerzo- 10.712 cupos modalidad complemento am/pm y 17.679 cupos modalidad ración industrializada para un total de 3.624.480 raciones a lo largo del proyecto. </t>
  </si>
  <si>
    <t>Estudiantes beneficiados del programa de alimentación escolar</t>
  </si>
  <si>
    <t xml:space="preserve">SGR - Asignación para la inversión regional 60%    
 Propios-Sucre
 SGP Alimentación Escolar                                                                    </t>
  </si>
  <si>
    <t>Se solicita liquidación del proyecto</t>
  </si>
  <si>
    <t>Proyecto pasó a terminado, falta terminar de agregar contratos y pagos de recursos propios y la liquidación para cerrar el proyecto</t>
  </si>
  <si>
    <t>2023002700177</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</si>
  <si>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</si>
  <si>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 xml:space="preserve">ELABORACIÓN DE SIETE (7) ESTUDIOS Y DISEÑOS NECESARIOS PARA LA ESTRUCTURACIÓN Y POSTERIOR GESTIÓN DE PROYECTOS PARA LA CONSTRUCCIÓN DE LOS SISTEMAS DE ACUEDUCTO Y ALCANTARILLADO EN LAS COMUNIDADES RURALES DE LOS CORREGIMIENTOS DE EL MAMÓN, LAS PEÑAS, CHAPINERO, LAS LLANADAS, DON ALONSO, VEREDA LAS BRUJAS, DEL MUNICIPIO DE COROZAL; PUERTO VIEJO EN EL MUNICIPIO DE TOLÚ Y CANUTALITO EN EL MUNICIPIO DE OVEJAS. </t>
  </si>
  <si>
    <t>Estudios o diseños realizados</t>
  </si>
  <si>
    <t>·         Se solicita remitir el avance de ejecución correspondiente al mes de abril de 2026 y/o las modificaciones realizadas.</t>
  </si>
  <si>
    <t>Avance de ejecución del mes de abril 2026
Documento de soporte de avance de ejecución mes de abril 2026</t>
  </si>
  <si>
    <t>Proyecto en estado de ejecución, con contrato en ejecución y calificación de 86,96  puntos en el mes de febrero, conforme a su avance de ejecución, teniendo en cuenta el costo, la programación y la brecha entre lo físico y lo financiero.</t>
  </si>
  <si>
    <t>2024002700066</t>
  </si>
  <si>
    <t>Cofinanciación Fase 1 de Subsidios al Cargo por Conexión e Instalación Interna del Servicio de Gas Natural para Usuarios Estrato 1 Y 2 del Municipio de   Toluviejo Sucre</t>
  </si>
  <si>
    <t xml:space="preserve">Conexión e instalación de redes internas del servicio de gas natural domiciliario el cual beneficiará a 776 usuarios e impactará a 3991 personas de los estratos 1 y 2 de los corregimientos de Varsovia, La Esperanza y La Siria ubicados en el municipio de Toluviejo en el departamento de Sucre. </t>
  </si>
  <si>
    <t>Viviendas conectadas a la red local de gas combustible</t>
  </si>
  <si>
    <t>Ejecución del proyecto</t>
  </si>
  <si>
    <t>El proyecto fue prorrogado por dos meses mas, quedando su ejecución hasta el 14 de junio de 2026, por lo tanto remitimos el documento de la prorroga No. 4, reprogramación, excel de ejecución y documento de entrega de avance de obras. En cuanto a las pólizas actualizadas con respecto a la prorroga, estas se encuentan en estado de proceso de aprobación.</t>
  </si>
  <si>
    <t xml:space="preserve">Proyecto en estado de ejecución, con contrato en ejecución y calificación de 75 puntos en el mes de marzo, conforme a su avance de ejecución, teniendo en cuenta el costo, la programación y la brecha entre lo físico y lo financiero. </t>
  </si>
  <si>
    <t>2024002700151</t>
  </si>
  <si>
    <t>Construcción Etapa 1 de redes para suministro de gas domiciliario y conexión de usuarios de menores ingresos de la zona rural de San marcos y la cabecera municipal de Sucre.  Sucre</t>
  </si>
  <si>
    <t xml:space="preserve">CONSTRUCCIÓN DE REDES PARA LA CONEXIÓN DEL SISTEMA DE DISTRIBUCIÓN Y DE REDES INTERNAS PARA EL SUMINISTRO DE GAS DOMICILIARIO (GLP), EN 3.536 VIVIENDAS EN ZONA RURAL DEL MUNICIPIO DE SAN MARCOS Y EN LA CABECERA MUNICIPAL DEL MUNICIPIO DE SUCRE. </t>
  </si>
  <si>
    <t>·         Se solicita remitir avance de ejecución del mes de abril de 2026, pólizas actualizadas con acta de inicio del convenio suscrito y/o modificaciones si se han presentado.</t>
  </si>
  <si>
    <t xml:space="preserve">En cuanto al convenio 014 se prorrogó dos meses, quedando su ejecución hasta el 12 de junio de 2026, por lo tanto nos permitimos remitir modificatorio No.1 del Convenio 014, reprogramación, excel de ejecucion y documento de avance de obra. </t>
  </si>
  <si>
    <t>Proyecto en estado de ejecución, con contrato en ejecución y calificación de 100puntos en el mes de marzo, conforme a su avance de ejecución, teniendo en cuenta el costo, la programación y la brecha entre lo físico y lo financiero.</t>
  </si>
  <si>
    <t>2024002700174</t>
  </si>
  <si>
    <t>Fortalecimiento de la productividad en los cultivos de Yuca Industrial de los municipios PDET del departamento de  Sucre</t>
  </si>
  <si>
    <t>AUMENTAR LOS NIVELES DE PRODUCTIVIDAD EN LAS ÁREAS SEMBRADAS DE LOS CULTIVOS DE YUCA INDUSTRIAL EN LOS MUNICIPIOS PDET DEL DEPARTAMENTO DE SUCRE, BENEFICIANDO 690 PEQUEÑOS PRODUCTORES AGRUPADOS EN 8 ASOCIACIONES, A LOS CUALES SE LES HARÁ ENTREGA DE UN BANCO DE MAQUINARIA AGRÍCOLA COMPUESTO POR 1TRACTOR AGRÍCOLA, CON IMPLEMENTOS COMO 1 RASTRA PREPARADORA, 1 REMOLQUE TIPO PLANCHA CON BARANDAS, Y UN 1 CABALLONEADOR RESPECTIVAMENTE.</t>
  </si>
  <si>
    <t xml:space="preserve">Productores apoyados con activos productivos y de comercialización </t>
  </si>
  <si>
    <t>SIN CONTRATAR</t>
  </si>
  <si>
    <t>Se informa que el proyecto fue migrado el 23 de noviembre de 2024 al aplicativo Gesproy y como fecha límite de liberación de recursos se tenía hasta el día 18 de mayo de 2025, el proyecto no ha sido contratado, lo que quiere decir que en el hito “Eficiencia en la contratación” obtendrá una puntuación de cero (0). Ahora bien, se otorgó una prórroga por un término de seis (6) meses, la cual fue debidamente aprobada y tuvo vencimiento el 15 de enero de 2026. Posteriormente, se aprobó una nueva prórroga por un período adicional de seis (6) meses; en consecuencia, se solicita adelantar las acciones pertinentes a la mayor brevedad posible,   y se solicita información del proceso de contratación del proyecto, en vista que conforme a la información pasada el proceso precontractual fue declarado desierto.</t>
  </si>
  <si>
    <t xml:space="preserve">Se encuentra en contratación (Se anexa oficio de radicación) </t>
  </si>
  <si>
    <t>Proyecto realizó apertura del proceso de selección en la plataforma de Colombia Compra Eficiente para la adquisición de maquinaria amarilla y agrícola el día 5 de marzo de 2026, sin embargo, dicho proceso fue declarado desierto. Conforme a la información suministrada por la sectorial, el 13 de mayo de 2026 fueron radicados nuevamente los estudios previos para adelantar el proceso contractual. Posteriormente, desde la dependencia de contratación se realizaron observaciones relacionadas con los tiempos y la actualización de algunos precios de referencia, razón por la cual la sectorial se encuentra adelantando las subsanaciones correspondientes para continuar con el proceso de contratación. Teniendo en cuenta que el proyecto ya contó con un proceso inicial de contratación, actualmente no presenta riesgo de liberación de recursos.</t>
  </si>
  <si>
    <t>2024002700176</t>
  </si>
  <si>
    <t>Instalación de soluciones fotovoltaicas en el polideportivo del municipio de  Chalán Sucre</t>
  </si>
  <si>
    <t>INSTALACIÓN DE 144 PANELES SOLARES PARA LA AUTOGENERACIÓN DE ENERGÍA ELÉCTRICA EN LA CUBIERTA DE LA CANCHA DEPORTIVA DEL CASCO URBANO DEL MUNICIPIO DE CHALÁN, BENEFICIANDO A UNA POBLACIÓN DE 4,841 PERSONAS.</t>
  </si>
  <si>
    <t>Unidades de generación fotovoltáica de energía eléctrica instaladas</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</si>
  <si>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</si>
  <si>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Nos permitimos informar que se aprobó la ampliación de la suspensión del proyecto por un término adicional de dos (2) meses, estableciéndose como nueva fecha de finalización de dicha suspensión el día 27 de mayo de 2026. Se anexan los siguientes documentos: acta de ampliación de suspensión y documentos de solicitud de ampliación de la suspensión.  </t>
  </si>
  <si>
    <t>Proyecto en estado “en ejecución”, con contrato suspendido desde el 23 de enero de 2026. Actualmente, se encuentra a la espera de su reinicio, una vez la sectorial organice y ajuste los aspectos relacionados con la normativa RETIE, los cuales generan un mayor valor en los contratos.</t>
  </si>
  <si>
    <t>2024002700177</t>
  </si>
  <si>
    <t>Construcción de estructuras de protección para la prevención y mitigación de los efectos causados por la erosión costera en el sector primera ensenada del municipio de Coveñas departamento de  Sucre</t>
  </si>
  <si>
    <t xml:space="preserve">CONSTRUCCIÓN DE OCHO (8) ESPOLONES, RETIRO DE SEIS (6) ESTRUCTURAS EXISTENTES Y LA REGENERACIÓN DE PLAYAS MEDIANTE EL VERTIDO DE ARENA DE CANTERA. </t>
  </si>
  <si>
    <t>AMBIENTE Y DESARROLLO SOSTENIBLE</t>
  </si>
  <si>
    <t xml:space="preserve">obras de infraestructura para la mitigación y atención a desastres realizados </t>
  </si>
  <si>
    <t>SPGR Por definir</t>
  </si>
  <si>
    <t>*SGR- Asignaciones para la inversión regional 60%</t>
  </si>
  <si>
    <t>Se solicita remitir el avance de ejecución correspondiente al mes de abril de 2026 y/o las modificaciones realizadas, así como informar el estado de inicio de los demás contratos suscritos en el marco del proyecto</t>
  </si>
  <si>
    <t>Avance de ejecución del mes de abril 2026
Informe de supervisión mes de abril de 2026</t>
  </si>
  <si>
    <t>Proyecto en estado de ejecución, con contrato en ejecución y calificación de 60  puntos en el mes de marzo, conforme a su avance de ejecución, teniendo en cuenta el costo, la programación y la brecha entre lo físico y lo financiero.</t>
  </si>
  <si>
    <t>2024002700183</t>
  </si>
  <si>
    <t>Construcción  de la casa de participación ciudadana en el municipio de Sincelejo departamento de  Sucre</t>
  </si>
  <si>
    <t xml:space="preserve">CONSTRUIR 375 METROS CUADRADOS DE INFRAESTRUCTURA FÍSICA PARA LOS PROCESOS DE PARTICIPACIÓN CIUDADANA EN EL DEPARTAMENTO DE SUCRE. </t>
  </si>
  <si>
    <t>Sedes construídas</t>
  </si>
  <si>
    <t>CONTRATADO SIN ACTA DE INICIO</t>
  </si>
  <si>
    <t xml:space="preserve">Contratado sin ejecución                                              </t>
  </si>
  <si>
    <t>SGR - Asignación para la inversión regional 60%
SGR - Asignaciones directas</t>
  </si>
  <si>
    <t>Teniendo en cuenta que el proyecto se encuentra en estado “CONTRATADO SIN ACTA DE INICIO” en el aplicativo Gesproy, y considerando que recientemente fue adjudicada la obra, se solicita remitir la información correspondiente a los contratistas de obra, así como el estado actual de la interventoría y del apoyo a la supervisión. En particular, se requiere el envío de los siguientes documentos: RUT, acta consorcial, pólizas iniciales debidamente aprobadas, registro fotográfico de la situación actual del proyecto, la programación inicial de ejecución y acta de inicio de obra e interventoría. Este proyecto presenta más de 500 días desde su aprobación sin que, a la fecha, se haya dado inicio a su ejecución, situación que genera alertas y afecta negativamente su calificación.</t>
  </si>
  <si>
    <t>La contratación de la obra se encuentra adjudicado.
Proceso interventoría, mediante la Resolución No. 1086 del 12 de marzo de 2026, se declaró desierto el Concurso de Méritos Abierto No. CM-002-2026.
Mediante oficio No. 0838 de 8 de mayo, se radicaron los estudios previos para iniciar nuevo proceso de interventoría.</t>
  </si>
  <si>
    <t xml:space="preserve">El proyecto se encuentra en ejecución  sin acta de inicio desde junio de 2025, el contrato de obra fue adjudicado y suscrito mediante No de contrato LP-009-2025 el 05 de febrero de 2026. Mediante la resolución 0768 del 23 febrero de 2026, se aperturó el proceso CM-002-2026 para la interventoría, Actualmente se encuentra en proceso de evaluación y observaciones.
Esta situación está generando una calificación de 0, debido a que no se cuenta con programación del proyecto ni con acta de inicio. </t>
  </si>
  <si>
    <t>2024002700184</t>
  </si>
  <si>
    <t>Fortalecimiento Productivo Piscícola para la  Recuperación de Especies Nativas y  la  Seguridad Alimentaria en Asociaciones de  Pescadores Artesanales  de la Ecorregión Mojana del Departamento de   Sucre</t>
  </si>
  <si>
    <t>GENERACIÓN DE APROPIACIÓN DEL PATRIMONIO NATURAL DEL DEPARTAMENTO EN LAS ASOCIACIONES DE PESCADORES ARTESANALES MEDIANTE EL REPOBLAMIENTO DE ESPECIES ICTÍCAS DE BOCACHICO EN LOS CUERPOS CENAGOSOS Y CAPACITACIÓN TÉCNICA EN PESCA A 349 PESCADORES ARTESANALES DEL DEPARTAMENTO DE SUCRE.</t>
  </si>
  <si>
    <t>´- Personas beneficiadas
- Unidades productivas beneficiadas
- Pequeños productores rurales asistidos técnicamente</t>
  </si>
  <si>
    <t>·         se solicita la remisión de la ejecución correspondiente al mes de abril de 2026 y/o modificaciones.</t>
  </si>
  <si>
    <t xml:space="preserve">Se envía informe de avance del mes de abril y respectiva prorroga en la ejecución.  </t>
  </si>
  <si>
    <t>Proyecto en estado de ejecución, con contrato en ejecución y calificación de 88,43  puntos en el mes de marzo, conforme a su avance de ejecución, teniendo en cuenta el costo, la programación y la brecha entre lo físico y lo financiero.</t>
  </si>
  <si>
    <t>Construcción de soluciones Fotovoltaica para el suministro de energía en entidades públicas del municipio de   Corozal Sucre</t>
  </si>
  <si>
    <t>Central de generación fotovoltaica construida (Producto principal del proyecto)</t>
  </si>
  <si>
    <t>SGR - Rendimientos financieros 30% - incentivo a la producción
SGR - Asignaciones directas</t>
  </si>
  <si>
    <t>Proyecto en estado “Sin contratar”, recién aprobado</t>
  </si>
  <si>
    <t>2025000020006</t>
  </si>
  <si>
    <t>Mejoramiento de la vía sampues-Segovia-Sincelejo en el departamento de  Sucre</t>
  </si>
  <si>
    <t>MEJORAR LAS VIAS TERCIARIAS QUE COMUNICAN A SAMPUES CON EL MUNICIPIO DE SINCELEJO A TRAVEZ DE 10,69 KM</t>
  </si>
  <si>
    <t xml:space="preserve">Vía terciaria mejorada </t>
  </si>
  <si>
    <t xml:space="preserve">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t>
  </si>
  <si>
    <t>CDP No.62
Mediante oficio 0832 de 8 de mayo de 2026, se radicaron los estudios previos para iniciar proceso de contratación de obra</t>
  </si>
  <si>
    <t xml:space="preserve"> Proyecto en estado “Sin contratar”,  Fueron radicados el día 8 de mayo de 2026 en la subsecretaría de contratación los estudios previos y demás documentación soporte, para su respectiva revisión y trámite. Actualmente se encuentra a la espera de la publicación del respectivo proceso contractual.
</t>
  </si>
  <si>
    <t>2025000020019</t>
  </si>
  <si>
    <t>Implementación del programa de alimentación escolar -PAE- para el segundo semestre del 2025 en el Departamento de   Sucre</t>
  </si>
  <si>
    <t xml:space="preserve">ENTREGA DE 2.733.725 RACIONES DE ALIMENTOS COMPLEMENTARIOS A LOS ESTUDIANTES EN LA JORNADA ESCOLAR DE LOS ESTABLECIMIENTOS EDUCATIVOS DEL DEPARTAMENTO DE SUCRE </t>
  </si>
  <si>
    <t>220102800: Raciones contratadas</t>
  </si>
  <si>
    <t>Inversión - Departamentos - SGR - Asignación para la inversión regional 40%</t>
  </si>
  <si>
    <t xml:space="preserve"> Se solicita liquidación del proyecto.</t>
  </si>
  <si>
    <t>Proyecto se está cragando información en la plataforma Gesproy para pasar a estado TERMIANDO</t>
  </si>
  <si>
    <t>2025000020037</t>
  </si>
  <si>
    <t>Pavimentación de la vía que conduce de la cabecera del municipio de Galeras hasta el corregimiento de Santiago Apóstol jurisdicción del municipio de San Benito Abad Departamento de  Sucre</t>
  </si>
  <si>
    <t xml:space="preserve">MEJORAMIENTO DE 19,4720 KM DE VÍAS TERCIARIAS EN PAVIMENTO DE LA VÍA QUE COMUNICA A LA CABECERA MUNICIPAL DE GALERAS CON EL CORREGIMIENTO DE SANTIAGO APÓSTOL, DEPARTAMENTO DE SUCRE. </t>
  </si>
  <si>
    <t>Vía terciaria mejorada</t>
  </si>
  <si>
    <t>·         Se solicita remitir avance de ejecución del mes de abril de 2026, además remitir pólizas iniciales y con acta de inicio de los contratos y/o modificaciones si se han presentado.</t>
  </si>
  <si>
    <t>avance de ejecucion del mes de abril 2026,en formato exel documentos de soportes de ejecusion mes de abril 2026</t>
  </si>
  <si>
    <t>Proyecto en estado de ejecución, con contrato en ejecución y calificación de 100 puntos en el mes de marzo, conforme a su avance de ejecución, teniendo en cuenta el costo, la programación y la brecha entre lo físico y lo financiero.</t>
  </si>
  <si>
    <t>2025002700015</t>
  </si>
  <si>
    <t>Elaboración de estudios técnicos y jurídicos para el saneamiento de bienes baldíos urbanos con fines de titulación en municipios del departamento de  Sucre</t>
  </si>
  <si>
    <t xml:space="preserve">ELABORACIÓN DE ESTUDIO DE OCUPACIÓN, IDENTIFICACIÓN CATASTRAL, TÉCNICA Y JURÍDICA DE 500 BIENES OBJETO DE SANEAMIENTO DE BALDÍOS URBANOS OCUPADOS ILEGALMENTE CON VIVIENDA EN LOS MUNICIPIOS DE EL ROBLE, BUENAVISTA, GALERAS, SAN PEDRO Y SAN JUAN DE BETULIA EN EL DEPARTAMENTO DE SUCRE. </t>
  </si>
  <si>
    <t>Se solicita remitir el avance de ejecución correspondiente al mes de marzo de 2026 y/o las modificaciones realizadas, además se solicita información de los contratistas (Rut, acta consorcial, pólizas iniciales), minutas contractuales</t>
  </si>
  <si>
    <t>2025002700019</t>
  </si>
  <si>
    <t>Mejoramiento de la Institución Educativa El Mamón sede principal en el municipio de Corozal departamento de   Sucre</t>
  </si>
  <si>
    <t>MEJORAMIENTO DE LA SEDE PRINCIPAL DE LA INSTITUCIÓN EDUCATIVA EL MAMÓN MEDIANTE LA INTERVENCIÓN DE TRES (3) AULAS Y LA CONSTRUCCIÓN DE INFRAESTRUCTURA COMPLEMENTARIA EN EL MUNICIPIO DE COROZAL, SUCRE.</t>
  </si>
  <si>
    <t>220105200: Sedes educativas mejoradas</t>
  </si>
  <si>
    <t>Se encuentra en el aplicativo Gesproy en estado “SIN CONTRATAR”.  Conforme a la última información suministrada el proyecto cuenta con el primer contrato de consultoría adjudicado el 08 de abril de 2026 y actualmente se encuentra en espera de la firma del contrato, adicionalmente, el proceso precontractual de la interventoría aún no ha sido publicado, se solicita información de la suscripción del contrato de la consultoría, del proceso de contratación de la interventoría y la programación de los eventos de participación ciudadana.</t>
  </si>
  <si>
    <t>El 4 de mayo de 2026 se suscribió el contrato de obra No. SA. 003.2026. En cuanto al proceso para la contratación de la interventoria, el 24 de abril 2026 se radicaron en la oficina de subcontratación los estudios previos y demás documentación soporte, para su respectiva revisión y trámite; actualmente, se encuentra a la espera de la publicación del respectivo proceso contractual. Se anexa oficio No. 0769.</t>
  </si>
  <si>
    <t xml:space="preserve">
El 4 de mayo de 2026 se suscribió el contrato de obra. En cuanto al proceso para la contratación de la interventoría, el 24 de abril 2026 se radicaron en la oficina de subcontratación los estudios previos y demás documentación soporte, para su respectiva revisión y trámite; actualmente, se encuentra a la espera de la publicación del respectivo proceso contractual. Este proyecto debería aparecer en Gesproy "contratado sin acta de inicio", sin embargo, está a la espera de que migre el contrato a la plataforma.</t>
  </si>
  <si>
    <t>2025002700021</t>
  </si>
  <si>
    <t>Mejoramiento de vías terciarias y secundarias en los municipios de Santiago de Tolú y Toluviejo subregión del golfo de mosrrosquillo departamento de  Sucre</t>
  </si>
  <si>
    <t xml:space="preserve">	MEJORAMIENTO DE 2,63 KM DE VÍAS TERCIARIAS Y SECUNDARIAS MEDIANTE PAVIMENTO EN CONCRETO HIDRÁULICO, EN LOS TRAMOS QUE COMUNICAN LOS CORREGIMIENTOS LAS PITAS EN EL MUNICIPIO DE SANTIAGO DE TOLÚ Y LA ESPERANZA EN EL MUNICIPIO DE TOLUVIEJO, EN EL DEPARTAMENTO DE SUCRE.</t>
  </si>
  <si>
    <t>Vía secundaria mejorada
Via terciaria mejorada</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</si>
  <si>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</si>
  <si>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Se encuentra en estructuración de estudios previos de obra e interventoria</t>
  </si>
  <si>
    <t xml:space="preserve"> Proyecto en estado “Sin contratar”,  sin registro de proceso precontractual en SECOP II. Se encuentra en elaboración de estudios previos por parte de la sectorial
</t>
  </si>
  <si>
    <t>2025002700023</t>
  </si>
  <si>
    <t>Estudio y diseño para la masificación de gas combustible domiciliario por redes para la zona rural de los municipios de San Onofre San antonio de Palmito Tolú Caimito y El Roble del Departamento de Sucre.  Sucre</t>
  </si>
  <si>
    <t>REALIZAR ESTUDIOS,DISEÑOS Y DOCUMENTOS TÉCNICOS PARA LA ESTRUCTURACIÓN DE UN PROYECTO DE GAS NATURAL DOMICILIARIO EN LOS MUNICIPIOS DE SAN ONOFRE, SAN ANTONIO DE PALMITO, TOLÚ, CAIMITO, Y EL ROBLE EN EL DEPARTAMENTO DE SUCRE.</t>
  </si>
  <si>
    <t>Estudios de preinversión realizados</t>
  </si>
  <si>
    <t>Se encuentra en el aplicativo Gesproy en estado “CONTRATADO SIN ACTA DE INICIO” se solicita remitir pólizas iniciales debidamente aprobadas, la programación inicial de ejecución y actas de inicio.</t>
  </si>
  <si>
    <t xml:space="preserve">El proyecto comenzó su ejecución el día 27 de abril del 2026, por lo tanto, nos permitimos remitir el acta de inicio firmada, la programación, las pólizas actualizadas con acta de inicio, pantallazo de aprobación secop II, Excel con la ejecución del mes y documento de entrega de avance de obra.  </t>
  </si>
  <si>
    <t xml:space="preserve">Proyecto en estado de ejecución, con contrato en ejecución y calificación de 100 puntos en el mes de marzo, conforme a su avance de ejecución, teniendo en cuenta el costo, la programación y la brecha entre lo físico y lo financiero. </t>
  </si>
  <si>
    <t>2025002700025</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</si>
  <si>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</si>
  <si>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AMPLIACIÓN DE LA COBERTURA DEL SERVICIO DE GAS NATURAL DOMICILIARIO A 877 VIVIENDAS DE ESTRATOS 1 Y 2 EN LOS CORREGIMIENTOS DE BARAYA (MUNICIPIO DE GALERAS), CIENAGUITA Y ARROYO SECO (MUNICIPIO DE TOLUVIEJO), Y EL SECTOR CASTAÑEDA (MUNICIPIO DE SINCELEJO) EN EL DEPARTAMENTO DE SUCRE.</t>
  </si>
  <si>
    <t>210101600: Viviendas conectadas a la red local de gas combustible</t>
  </si>
  <si>
    <t>Asignaciones Directas</t>
  </si>
  <si>
    <t>·         Se encuentra en el aplicativo Gesproy en estado “CONTRATADO SIN ACTA DE INICIO” se solicita remitir pólizas iniciales debidamente aprobadas, la programación inicial de ejecución y acta de inicio de obra  e interventoría.</t>
  </si>
  <si>
    <t xml:space="preserve">Nos permitimos informar que actualmente se encuentra pendiente la obtención de los permisos, conceptos y autorizaciones requeridos conforme a la normatividad vigente para la ejecución del convenio, entre ellos el trámite de consulta previa, requisito indispensable para proceder con la suscripción del acta de inicio. </t>
  </si>
  <si>
    <t xml:space="preserve">Proyecto en estado “Contratado sin acta de inicio”, a la espera de la programación inicial y la suscripción del acta de inicio para pasar a estado “en ejecución”. El contrato fue suscrito el 04 de febrero  de 2026, por lo cual se debe mantener alerta, teniendo en cuenta que se dispone de 30 días para cargar el acta de inicio y la programación, evitando así una calificación de 0 por parte del DNP.
Conforme a lo informado por la sectorial, se requiere la modificación de una cláusula del convenio, en atención a ciertos requisitos que deben cumplirse previamente a la suscripción del acta de inicio. En consecuencia, se hace necesario la elaboración de un otrosí, el cual se prevé suscribir entre el 7 y el 9 de mayo, con el fin de proceder posteriormente a la firma del acta de inicio.
</t>
  </si>
  <si>
    <t>2025002700033</t>
  </si>
  <si>
    <t>Estudios y diseños del proyecto denominado Consultoria para el Diagnóstico y formulacion de propuestas de intervención en infraestructura educativa oficial en municipios priorizados del departamento de  Sucre</t>
  </si>
  <si>
    <t>REALIZAR EL DIAGNÓSTICO TÉCNICO DE LA INFRAESTRUCTURA EDUCATIVA OFICIAL Y LA ELABORACIÓN DE ESTUDIOS, DISEÑOS Y PROPUESTAS DE INTERVENCIÓN PARA LOS MUNICIPIOS PRIORIZADOS DEL DEPARTAMENTO DE SUCRE</t>
  </si>
  <si>
    <t>220103900: Estudios y diseños de infraestructura educativa elaborados</t>
  </si>
  <si>
    <t>Asignación para la inversión regional 60%</t>
  </si>
  <si>
    <t>El proyecto se encuentra en el aplicativo GESPROY en estado “SIN CONTRATAR”. Conforme a la información presentada el mes anterior, se evidenció la apertura del primer proceso correspondiente a la consultoría, no obstante, aún no se había iniciado el proceso precontractual de la interventoría. Por lo anterior, se solicita remitir información actualizada sobre ambas contrataciones, así como la programación de los eventos de participación ciudadana</t>
  </si>
  <si>
    <t xml:space="preserve"> Resolución de adjudicación No. 1786 de 30 de abril de 2026, del Contrato de
Consultoria No. CM-004-2026
Mediante oficio No. 0770 de fecha 24 de abril, se radicaron los estudios previos para iniciar proceso de contractual de la interventoria</t>
  </si>
  <si>
    <t xml:space="preserve">
 Mediante la Resolución No. 1786 del 30 de abril de 2026, se adjudicó el Contrato No. CM-004-2026, sin embargo, a la fecha no se ha suscrito el contrato correspondiente.
En cuanto al proceso para la contratación de la interventoría, el día 24 de abril se radicaron en la oficina de subcontratación los estudios previos y demás documentación soporte, para su respectiva revisión y trámite. Actualmente, se encuentra a la espera de la publicación del respectivo proceso contractual.</t>
  </si>
  <si>
    <t>2025002700035</t>
  </si>
  <si>
    <t>Estudios  y Diseños para la Adecuación de Infraestructura física en el Departamento de  Sucre</t>
  </si>
  <si>
    <t>ELABORACIÓN DE ESTUDIOS TÉCNICOS, DIAGNÓSTICOS Y DISEÑOS DE PREINVERSIÓN PARA LA ADECUACIÓN INTEGRAL DE DOS (2) EDIFICACIONES DEL DEPARTAMENTO DE SUCRE, ORIENTADOS A LA OPTIMIZACIÓN DE LAS CONDICIONES LOCATIVAS, FUNCIONALES Y NORMATIVAS, CONFORME A LA REGLAMENTACIÓN TÉCNICA VIGENTE.</t>
  </si>
  <si>
    <t>170202200: Estudios de preinversión realizados</t>
  </si>
  <si>
    <t>- Mediante la Resolución No. 1906 del 8 de mayo de 2026, se ordena la apertura del proceso por concurso de méritos abierto No. CM-003-2026</t>
  </si>
  <si>
    <t>Mediante la resolución No. 1906 del 08 de mayo de 2026, se ordena la apertura del proceso por concurso de méritos abierto No. CM-003-2026, actualmente se encuentra en la fase de evaluación de propuestas y atención de observaciones.</t>
  </si>
  <si>
    <t>2026002700001</t>
  </si>
  <si>
    <t>Mejoramiento en pavimento rígido y construcción de obras hidráulicas en tramos viales en las subregiones Sabana y Montes de María en el departamento de  Sucre</t>
  </si>
  <si>
    <t>MEJORAMIENTO DE 3,0976 KM DE VÍAS URBANAS MEDIANTE PAVIMENTO RÍGIDO Y CONSTRUCCIÓN DE OBRAS HIDRÁULICAS, EN TRAMOS VIALES DE LOS MUNICIPIOS DE SAMPUÉS, MORROA Y SINCÉ, EN LAS SUBREGIONES SABANA Y MONTES DE MARÍA DEL DEPARTAMENTO DE SUCRE</t>
  </si>
  <si>
    <t>Vía urbana mejorada</t>
  </si>
  <si>
    <t xml:space="preserve">SGR - Asignaciones directas
Asignación para la inversión regional 60%
</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</si>
  <si>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</si>
  <si>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Proyecto en estado “Sin contratar”,  sin registro de proceso precontractual en SECOP II. Se encuentra en elaboración de estudios previos por parte de la sectorial</t>
  </si>
  <si>
    <t>Mejoramiento  y adecuaciones de la infraestructura física de la Institución Educativa Gabriel García Márquez sede Ospina Pérez II del Municipio de Corozal Departamento de  Sucre</t>
  </si>
  <si>
    <t>EJECUTOR</t>
  </si>
  <si>
    <t>NOMBRE DEL PROYECTO</t>
  </si>
  <si>
    <t>ALCANCE</t>
  </si>
  <si>
    <t>FUENTE</t>
  </si>
  <si>
    <t xml:space="preserve">VALOR OTROS </t>
  </si>
  <si>
    <t>VALOR TOTAL</t>
  </si>
  <si>
    <t>FECHA DE INCORPORACIÓN DE RECUROS</t>
  </si>
  <si>
    <t>AVANCE FÍSICO</t>
  </si>
  <si>
    <t>2020700010140</t>
  </si>
  <si>
    <t>EMPRESA AGUAS DE SUCRE S.A. E.S.P.</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</si>
  <si>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</si>
  <si>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</si>
  <si>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</si>
  <si>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Terminado</t>
  </si>
  <si>
    <t>Proyecto terminado</t>
  </si>
  <si>
    <t>2020700010143</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</si>
  <si>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</si>
  <si>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</si>
  <si>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</si>
  <si>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2021000020028</t>
  </si>
  <si>
    <t>FONDO MIXTO DE PROMOCION DE LA CULTURA Y LAS ARTES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</si>
  <si>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</si>
  <si>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</si>
  <si>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En ejecución</t>
  </si>
  <si>
    <t>Proyecto en estado de ejecución, con contrato en ejecución y calificación de 75 puntos en el mes de febrero, conforme a su avance de ejecución, teniendo en cuenta el costo, la programación y la brecha entre lo físico y lo financiero.</t>
  </si>
  <si>
    <t>2021002700194</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</si>
  <si>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</si>
  <si>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</si>
  <si>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</si>
  <si>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Suspendido</t>
  </si>
  <si>
    <t>Proyecto en ejecución con contrato suspendido</t>
  </si>
  <si>
    <t>20221301010208</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</si>
  <si>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</si>
  <si>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</si>
  <si>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</si>
  <si>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2023002700011</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</si>
  <si>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</si>
  <si>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</si>
  <si>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2023002700070</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</si>
  <si>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</si>
  <si>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</si>
  <si>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</si>
  <si>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2023002700127</t>
  </si>
  <si>
    <t>Construcción de los embarcaderos marítimos públicos ubicados en el municipio de Santiago de Tolú departamento de Sucre</t>
  </si>
  <si>
    <t xml:space="preserve">SE CONSTRUIRA UN EMBARCADEROS MARITIMOS EN EL MUNICIPIO DE SANTIAGO DE TOLU DEL DEPARTAMENTO DE SUCRE </t>
  </si>
  <si>
    <t>2023002700169</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</si>
  <si>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</si>
  <si>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</si>
  <si>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2024002700075</t>
  </si>
  <si>
    <t>INSTITUTO DEPARTAMENTAL DE DEPORTES Y RECREACION DE SUCRE INDERSUCRE</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</si>
  <si>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</si>
  <si>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</si>
  <si>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Proyecto terminado pero sigue apareciendo en la plataforma en ejecución</t>
  </si>
  <si>
    <t>2024002700158</t>
  </si>
  <si>
    <t>Estudios de prefactibilidad y factibilidad para la estructuración de proyectos de generación de energía eléctrica fotovoltaica en Sucre</t>
  </si>
  <si>
    <t xml:space="preserve">INCREMENTAR LA ACCESIBILIDAD Y CALIDAD EN LA PRESTACIÓN DEL SERVICIO ELÉCTRICO EN SUCRE. </t>
  </si>
  <si>
    <t>2024002700193</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</si>
  <si>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</si>
  <si>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</si>
  <si>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Contratado sin ejecución</t>
  </si>
  <si>
    <t>2024002700194</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</si>
  <si>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</si>
  <si>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</si>
  <si>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2025002700010</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</si>
  <si>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</si>
  <si>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</si>
  <si>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2025002700011</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</si>
  <si>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</si>
  <si>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</si>
  <si>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2025002700034</t>
  </si>
  <si>
    <t xml:space="preserve">Construcción de planta de tratamiento de agua potable de 5833 ls en el área urbana del municipio de Majagual departamento de Sucre	</t>
  </si>
  <si>
    <t>LA ALTERNATIVA SELECCIONADA CONTEMPLA LA CONSTRUCCIÓN DE UNA PLANTA DE TRATAMIENTO DE AGUA POTABLE PARA EL SISTEMA DE ACUEDUCTO DE LA ZONA URBANA DEL MUNICIPIO DE MAJAGUAL. LA EJECUCIÓN DE ESTE PROYECTO COMPRENDE DOS ETAPAS PRINCIPALES: LA CONSTRUCCIÓN DE LOS LECHOS DE SECADO Y LA CONSTRUCCIÓN DE LA PLANTA DE TRATAMIENTO PTAP</t>
  </si>
  <si>
    <t>SGR - Asignaciones directas
SGP Agua Potable y Saneamiento Básico</t>
  </si>
  <si>
    <t>Sin contratar</t>
  </si>
  <si>
    <t xml:space="preserve">COMENTARIOS </t>
  </si>
  <si>
    <t>2012000020042</t>
  </si>
  <si>
    <t>MUNICIPIO DE MORROA</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</si>
  <si>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</si>
  <si>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</si>
  <si>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Liquidado</t>
  </si>
  <si>
    <t>2012002700005</t>
  </si>
  <si>
    <t>MUNICIPIO DE OVEJAS</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</si>
  <si>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</si>
  <si>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</si>
  <si>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2012002700006</t>
  </si>
  <si>
    <t>MUNICIPIO DE SAN PEDRO</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</si>
  <si>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</si>
  <si>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</si>
  <si>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2013000020043</t>
  </si>
  <si>
    <t xml:space="preserve">MUNICIPIO DE MAJAGUAL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</si>
  <si>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</si>
  <si>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</si>
  <si>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2013000020044</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</si>
  <si>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</si>
  <si>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</si>
  <si>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</si>
  <si>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2013000020049</t>
  </si>
  <si>
    <t>MUNICIPIO DE COVEÑAS</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</si>
  <si>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</si>
  <si>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</si>
  <si>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2013000020072</t>
  </si>
  <si>
    <t>MUNICIPIO DE TOLUVIEJO</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</si>
  <si>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</si>
  <si>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</si>
  <si>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</si>
  <si>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2013000020090</t>
  </si>
  <si>
    <t>MUNICIPIO DE LOS PALMITOS</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</si>
  <si>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</si>
  <si>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</si>
  <si>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</si>
  <si>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2013000100255</t>
  </si>
  <si>
    <t>LA CORPORACIÓN COLOMBIANA DE INVESTIGACIÓN AGROPECUARIA - AGROSAVIA (EX CORPOICA)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</si>
  <si>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</si>
  <si>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</si>
  <si>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2017000020114</t>
  </si>
  <si>
    <t>MUNICIPIO DE SINCELEJO</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</si>
  <si>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</si>
  <si>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</si>
  <si>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</si>
  <si>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2018000020002</t>
  </si>
  <si>
    <t>MUNICIPIO DE SINCE</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</si>
  <si>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</si>
  <si>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</si>
  <si>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</si>
  <si>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 xml:space="preserve">Liquidado </t>
  </si>
  <si>
    <t>2019000020013</t>
  </si>
  <si>
    <t>MUNICIPIO DE COROZAL</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</si>
  <si>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</si>
  <si>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</si>
  <si>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</si>
  <si>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2019000020110</t>
  </si>
  <si>
    <t>MUNICIPIO DE COLOSO</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</si>
  <si>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</si>
  <si>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</si>
  <si>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2019000100005</t>
  </si>
  <si>
    <t>FUNDACIÓN UNIVERSIDAD DEL NORTE - UNINORTE</t>
  </si>
  <si>
    <t>Formación De Capital Humano De Alto Nivel Nacional</t>
  </si>
  <si>
    <t>Formación de alto nivel mediante la financiación de 31 créditos educativos condonables a nivel de doctorado</t>
  </si>
  <si>
    <t>2019000100011</t>
  </si>
  <si>
    <t>UNIVERSIDAD DE LA SABANA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</si>
  <si>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</si>
  <si>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</si>
  <si>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2019000100012</t>
  </si>
  <si>
    <t xml:space="preserve">UNIVERSIDAD DEL VALLE </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</si>
  <si>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</si>
  <si>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</si>
  <si>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2019000100021</t>
  </si>
  <si>
    <t>UNIVERSIDAD DE CARTAGENA</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</si>
  <si>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</si>
  <si>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</si>
  <si>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2019000100026</t>
  </si>
  <si>
    <t>UNIVERSIDAD NACIONAL DE COLOMBIA</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</si>
  <si>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</si>
  <si>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</si>
  <si>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2019000100028</t>
  </si>
  <si>
    <t>PONTIFICIA UNIVERSIDAD JAVERIANA</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</si>
  <si>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</si>
  <si>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</si>
  <si>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2019000100032</t>
  </si>
  <si>
    <t xml:space="preserve">UNIVERSIDAD DE CÓRDOBA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</si>
  <si>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</si>
  <si>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</si>
  <si>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2019000100034</t>
  </si>
  <si>
    <t>CORPORACIÓN UNIVERSIDAD DE LA COSTA</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</si>
  <si>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</si>
  <si>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</si>
  <si>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2019000100035</t>
  </si>
  <si>
    <t>UNIVERSIDAD DE CALDAS</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</si>
  <si>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</si>
  <si>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</si>
  <si>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2019000100037</t>
  </si>
  <si>
    <t xml:space="preserve">UNIVERSIDAD TECNOLÓGICA DE BOLÍVAR </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</si>
  <si>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</si>
  <si>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</si>
  <si>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2019000100045</t>
  </si>
  <si>
    <t>UNIVERSIDAD PONTIFICIA BOLIVARIANA</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</si>
  <si>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</si>
  <si>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</si>
  <si>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2019000100064</t>
  </si>
  <si>
    <t>UNIVERSIDAD DEL MAGDALENA</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</si>
  <si>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</si>
  <si>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</si>
  <si>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2019002700079</t>
  </si>
  <si>
    <t>MUNICIPIO DE GALERAS</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</si>
  <si>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</si>
  <si>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</si>
  <si>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</si>
  <si>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2019700010025</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</si>
  <si>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</si>
  <si>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</si>
  <si>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</si>
  <si>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2020000020053</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</si>
  <si>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</si>
  <si>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</si>
  <si>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2020000020068</t>
  </si>
  <si>
    <t>MUNICIPIO DE CAIMITO</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</si>
  <si>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</si>
  <si>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</si>
  <si>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</si>
  <si>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2020000020072</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</si>
  <si>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</si>
  <si>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</si>
  <si>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2020000100001</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</si>
  <si>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</si>
  <si>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</si>
  <si>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2020000100002</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</si>
  <si>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</si>
  <si>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</si>
  <si>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2020000100005</t>
  </si>
  <si>
    <t>UNIVERSIDAD DEL ATLÁNTICO</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</si>
  <si>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</si>
  <si>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</si>
  <si>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2020000100006</t>
  </si>
  <si>
    <t xml:space="preserve">INSTITUCION UNIVERSITARIA ITSA </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</si>
  <si>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</si>
  <si>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</si>
  <si>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2020000100023</t>
  </si>
  <si>
    <t>UNIVERSIDAD DE SUCRE</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</si>
  <si>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</si>
  <si>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</si>
  <si>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2020000100036</t>
  </si>
  <si>
    <t xml:space="preserve">UNIVERSIDAD DEL MAGDALENA </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</si>
  <si>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</si>
  <si>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</si>
  <si>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2020000100055</t>
  </si>
  <si>
    <t>UNIVERSIDAD DE CÓRDOBA</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</si>
  <si>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</si>
  <si>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</si>
  <si>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2020000100056</t>
  </si>
  <si>
    <t>FUNDACION PARQUE TECNOLOGICO DE SOFTWARE DE BOGOTA</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</si>
  <si>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</si>
  <si>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</si>
  <si>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2020000100065</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</si>
  <si>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</si>
  <si>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</si>
  <si>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2020000100095</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</si>
  <si>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</si>
  <si>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</si>
  <si>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 xml:space="preserve">2020000100116
</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</si>
  <si>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</si>
  <si>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</si>
  <si>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2020000100189</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</si>
  <si>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</si>
  <si>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</si>
  <si>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2020000100213</t>
  </si>
  <si>
    <t>CORPORACIÓN UNIVERSITARIA DEL CARIBE CECAR</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</si>
  <si>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</si>
  <si>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</si>
  <si>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2020000100237</t>
  </si>
  <si>
    <t>CORPORACIÓN CENTRO DE DESARROLLO TECNOLÓGICO CLUSTER CREATIC</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</si>
  <si>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</si>
  <si>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</si>
  <si>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2020000100250</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</si>
  <si>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</si>
  <si>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</si>
  <si>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2020000100287</t>
  </si>
  <si>
    <t xml:space="preserve">FUNDACIÓN UNIVERSIDAD DEL NORTE - UNINORTE </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</si>
  <si>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</si>
  <si>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</si>
  <si>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2020000100322</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</si>
  <si>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</si>
  <si>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</si>
  <si>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2020000100325</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</si>
  <si>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</si>
  <si>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</si>
  <si>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2020000100345</t>
  </si>
  <si>
    <t>UNIVERSIDAD DEL VALLE</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</si>
  <si>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</si>
  <si>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</si>
  <si>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2020000100361</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</si>
  <si>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</si>
  <si>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</si>
  <si>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2020000100362</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</si>
  <si>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</si>
  <si>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</si>
  <si>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2020000100364</t>
  </si>
  <si>
    <t>Formación de capital humano de alto nivel cohorte II - Universidad de Cartagena Nacional</t>
  </si>
  <si>
    <t xml:space="preserve">Promover el acceso de la población a programas de Formación de Alto Nivel </t>
  </si>
  <si>
    <t>2020000100372</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</si>
  <si>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</si>
  <si>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</si>
  <si>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2020000100380</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</si>
  <si>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</si>
  <si>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</si>
  <si>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2020000100391</t>
  </si>
  <si>
    <t xml:space="preserve">UNIVERSIDAD DE ANTIOQUIA </t>
  </si>
  <si>
    <t>Formación Nacional de alto nivel en la Universidad de Antioquia</t>
  </si>
  <si>
    <t xml:space="preserve">Promover el acceso de la población a programas de formación de alto nivel </t>
  </si>
  <si>
    <t>2020000100417</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</si>
  <si>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</si>
  <si>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</si>
  <si>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2020000100418</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</si>
  <si>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</si>
  <si>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</si>
  <si>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2020000100427</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</si>
  <si>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</si>
  <si>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</si>
  <si>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2020000100436</t>
  </si>
  <si>
    <t>UNIVERSIDAD SIMÓN BOLIVAR</t>
  </si>
  <si>
    <t>Formación de alto nivel Universidad Simón Bolívar-Corte 2 Nacional</t>
  </si>
  <si>
    <t xml:space="preserve">Formación de alto nivel mediante la financiación de 8 créditos condonables a nivel de doctorado en la Universidad Simón Bolívar para el capital humano del país. </t>
  </si>
  <si>
    <t>2020000100675</t>
  </si>
  <si>
    <t>Formación de capital humano de alto nivel - Universidad de Sucre</t>
  </si>
  <si>
    <t xml:space="preserve">Formación a nivel doctoral de 3 investigadores del departamento de Sucre por la Universidad de Sucre, en el marco del Programa de Becas de Excelencia del SGR. </t>
  </si>
  <si>
    <t>2020000100778</t>
  </si>
  <si>
    <t xml:space="preserve">UNIVERSIDAD EAFIT </t>
  </si>
  <si>
    <t>Formación de capital humano de alto nivel Universidad EAFIT - corte 2 Nacional</t>
  </si>
  <si>
    <t xml:space="preserve">Incrementar las capacidades de talento humano en investigación de calidad e impacto de 12 beneficiarios mediante estudios de doctorado. </t>
  </si>
  <si>
    <t>20201301010046</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</si>
  <si>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</si>
  <si>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</si>
  <si>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</si>
  <si>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2021000100003</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</si>
  <si>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</si>
  <si>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</si>
  <si>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2021000100004</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</si>
  <si>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</si>
  <si>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</si>
  <si>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2021000100005</t>
  </si>
  <si>
    <t>Formación de capital humano de alto nivel Universidad de Córdoba Nacional</t>
  </si>
  <si>
    <t xml:space="preserve">Servicio de apoyo financiero para la formación de nivel doctoral mediante once (11) becas otorgadas en el Departamento de Córdoba. </t>
  </si>
  <si>
    <t>2021000100006</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</si>
  <si>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</si>
  <si>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</si>
  <si>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2021000100033</t>
  </si>
  <si>
    <t>Formación DE CAPITAL HUMANO DE ALTO NIVEL UNIVERSIDAD TECNOLÓGICA DE BOLÍVAR Nacional</t>
  </si>
  <si>
    <t xml:space="preserve">Incrementar las capacidades del talento humano en investigación de calidad e impacto </t>
  </si>
  <si>
    <t>2021000100048</t>
  </si>
  <si>
    <t>INSTITUCION UNIVERSITARIA ITSA</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</si>
  <si>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</si>
  <si>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</si>
  <si>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2021000100052</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</si>
  <si>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</si>
  <si>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</si>
  <si>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2021000100078</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</si>
  <si>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</si>
  <si>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</si>
  <si>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liquidado</t>
  </si>
  <si>
    <t>2021000100084</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</si>
  <si>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</si>
  <si>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</si>
  <si>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2021000100229</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</si>
  <si>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</si>
  <si>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</si>
  <si>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2021000100535</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</si>
  <si>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</si>
  <si>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</si>
  <si>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2021002700188</t>
  </si>
  <si>
    <t>Remodelación y ampliación del parque los abetos en el municipio de Sincé departamento de Sucre</t>
  </si>
  <si>
    <t xml:space="preserve">Mejoramiento de las condiciones actuales y ampliación del parque los abetos en el municipio de Sincé. </t>
  </si>
  <si>
    <t>2021002700357</t>
  </si>
  <si>
    <t>CANACOL ENERGY COLOMBIA SAS</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</si>
  <si>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</si>
  <si>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</si>
  <si>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2021002700378</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</si>
  <si>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</si>
  <si>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</si>
  <si>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</si>
  <si>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2021002700379</t>
  </si>
  <si>
    <t>MUNICIPIO DE GUARANDA</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</si>
  <si>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</si>
  <si>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</si>
  <si>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2021002700388</t>
  </si>
  <si>
    <t>MUNICIPIO DE SAN BENITO ABAD</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</si>
  <si>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</si>
  <si>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</si>
  <si>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20211301011233</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</si>
  <si>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</si>
  <si>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</si>
  <si>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2022000100058</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</si>
  <si>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</si>
  <si>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</si>
  <si>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2022000100095</t>
  </si>
  <si>
    <t xml:space="preserve">Fundación Centro de Excelencia en Sistemas de Innovación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</si>
  <si>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</si>
  <si>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</si>
  <si>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2022000100097</t>
  </si>
  <si>
    <t>FundaciónBotánica yZoológica deBarranquilla</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</si>
  <si>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</si>
  <si>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</si>
  <si>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2022002700159</t>
  </si>
  <si>
    <t>HOSPITAL UNIVERSITARIO DE SINCELEJO - ESE</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</si>
  <si>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</si>
  <si>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</si>
  <si>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20221301010191</t>
  </si>
  <si>
    <t>MUNICIPIO DE SAN MARCOS</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</si>
  <si>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</si>
  <si>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</si>
  <si>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2023000100040</t>
  </si>
  <si>
    <t>PUNTO ESTRATEGICO RED DE CONSULTORES SAS</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</si>
  <si>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</si>
  <si>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</si>
  <si>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2023000100050</t>
  </si>
  <si>
    <t>INSTITUTO DE INVESTIGACION DE RECURSOS BIOLOGICOS ALEXANDER VON HUMBOLDT</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</si>
  <si>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</si>
  <si>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</si>
  <si>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2023002700170</t>
  </si>
  <si>
    <t xml:space="preserve">FONCOLOMBIA FONDO MIXTO PARA EL DESARROLLO INTEGRAL Y LA GESTION SOCIAL DE COLOMBIA </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</si>
  <si>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</si>
  <si>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</si>
  <si>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</si>
  <si>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2024000100009</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</si>
  <si>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</si>
  <si>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</si>
  <si>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</si>
  <si>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2024000100100</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</si>
  <si>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</si>
  <si>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</si>
  <si>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2024000100122</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</si>
  <si>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</si>
  <si>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</si>
  <si>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2024000100130</t>
  </si>
  <si>
    <t>Estudio del Potencial de los Humedales como Depósitos de Carbono para la Mitigación del Cambio Climático en los Departamentos de Sucre Bolívar Atlántico Magdalena La Guajira Córdoba</t>
  </si>
  <si>
    <t>2024N001660002</t>
  </si>
  <si>
    <t>ASOCIACION CULTURAL AFROCOLOMBIANA DE BUENAVISTA-AFROSDEBUENAVISTA</t>
  </si>
  <si>
    <t>Elaboración DE UN PLAN DE ETNODESARROLLO COMO BASE PARA EL DESARROLLO Y MEJORAMIENTO DE LA CALIDAD DE VIDA DE LAS COMUNIDADES NARP DEL DEPARTAMENTO DE Sucre</t>
  </si>
  <si>
    <t>2025002700008</t>
  </si>
  <si>
    <t>MUNICIPIO DE BUENAVISTA</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</si>
  <si>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</si>
  <si>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</si>
  <si>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2025002700017</t>
  </si>
  <si>
    <t>MUNICIPIO DE SAMPUES</t>
  </si>
  <si>
    <t>Elaboración de los documentos para la revisión ajuste general e inclusión de determinantes ambientales y de gestión del riesgo del Plan Básico de Ordenamiento Territorial del municipio de Sampués del departamento de Sucre</t>
  </si>
  <si>
    <t>2025002700020</t>
  </si>
  <si>
    <t>FONCOLOMBIA FONDO MIXTO PARA EL DESARROLLO INTEGRAL Y LA GESTION SOCIAL DE COLOMBIA</t>
  </si>
  <si>
    <t>Mejoramiento en concreto rigido de tramos en la red vial urbana del municipio de Sincelejo departamento de Sucre</t>
  </si>
  <si>
    <t xml:space="preserve">MEJORAR LA RED VIAL URBANA EN SINCELEJO INTERVINIENDO 8,625 KMS DE VIAS </t>
  </si>
  <si>
    <t>20253201010018</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</si>
  <si>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</si>
  <si>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</si>
  <si>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</si>
  <si>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2020000100022</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</si>
  <si>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</si>
  <si>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</si>
  <si>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2020000100635</t>
  </si>
  <si>
    <t>SERVICIO NACIONAL DE APRENDIZAJE SENA</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</si>
  <si>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</si>
  <si>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</si>
  <si>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2021002700095</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</si>
  <si>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</si>
  <si>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</si>
  <si>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</si>
  <si>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2021707170045</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</si>
  <si>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</si>
  <si>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</si>
  <si>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</si>
  <si>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2023000020038</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</si>
  <si>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</si>
  <si>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</si>
  <si>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2025002700037</t>
  </si>
  <si>
    <t>Construcción de obras para la transformación del arroyo grande de corozal y su entorno II etapa en el departamento de Sucre</t>
  </si>
  <si>
    <t xml:space="preserve">SGR - Asignaciones directas
SGR - Asignación para la inversión regional 60% </t>
  </si>
  <si>
    <t xml:space="preserve">SIN CONTRATAR </t>
  </si>
  <si>
    <t>Infraestructura educativa mejorada</t>
  </si>
  <si>
    <t>SGR-Asignaciones directas</t>
  </si>
  <si>
    <t xml:space="preserve">Proyecto en estado “Sin contratar”,  sin registro de proceso precontractual en SECOP II. Se encuentra en elaboración de estudios previos por parte de la sectorial y en espera de CDP </t>
  </si>
  <si>
    <t>CONSTRUCCIÓN DE 5 CENTRALES DE GENERACIÓN FOTOVOLTAICA PARA EL SUMINISTRO DE ENERGÍA EN ENTIDADES PÚBLICAS DEL MUNICIPIO DE COROZAL, MEDIANTE LA IMPLEMENTACIÓN DE SISTEMAS SOLARES FOTOVOLTAICOS.</t>
  </si>
  <si>
    <t>MEJORAMIENTO INTEGRAL DE LA INSTITUCIÓN EDUCATIVA GABRIEL GARCÍA MÁRQUEZ SEDE OSPINA PÉREZ II DEL MUNICIPIO DE COROZAL, MEDIANTE LA INTERVENCIÓN DE SU INFRAESTRUCTURA FÍSICA Y ELÉCTRICA PARA MEJORAR LAS CONDICIONES DE FORMACIÓN Y APRENDIZAJE DE LA COMUNIDAD EDUCATIVA.</t>
  </si>
  <si>
    <t>FECHA DE SUSCRIPCIÓN DEL CONTRATO PRINCIPAL</t>
  </si>
  <si>
    <t>FECHA SUSCRIPCION</t>
  </si>
  <si>
    <t>FECHA DE SUSCRIPCIÓN DEL PRIMER CONTRATO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</si>
</sst>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dd/mm/yyyy"/>
  </numFmts>
  <fonts count="4" x14ac:knownFonts="1">
    <font>
      <sz val="11"/>
      <color theme="1"/>
      <name val="Calibri"/>
      <family val="2"/>
      <scheme val="minor"/>
    </font>
    <font>
      <b/>
      <sz val="12"/>
      <color rgb="FFFFFFFF"/>
      <name val="Roboto"/>
      <family val="2"/>
    </font>
    <font>
      <b/>
      <sz val="10"/>
      <color rgb="FFFFFFFF"/>
      <name val="Roboto"/>
      <family val="2"/>
    </font>
    <font>
      <sz val="10"/>
      <color theme="1"/>
      <name val="Roboto"/>
      <family val="2"/>
    </font>
  </fonts>
  <fills count="6">
    <fill>
      <patternFill patternType="none"/>
    </fill>
    <fill>
      <patternFill patternType="gray125"/>
    </fill>
    <fill>
      <patternFill patternType="solid">
        <fgColor rgb="FFB7DEE8"/>
        <bgColor indexed="64"/>
      </patternFill>
    </fill>
    <fill>
      <patternFill patternType="solid">
        <fgColor rgb="FFF1A983"/>
        <bgColor indexed="64"/>
      </patternFill>
    </fill>
    <fill>
      <patternFill patternType="solid">
        <fgColor rgb="FF31869B"/>
        <bgColor indexed="64"/>
      </patternFill>
    </fill>
    <fill>
      <patternFill patternType="solid">
        <fgColor rgb="FFBE5014"/>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0">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65" fontId="3" fillId="0" borderId="1" xfId="0" applyNumberFormat="1" applyFont="1" applyBorder="1" applyAlignment="1">
      <alignment horizontal="center" vertical="center" wrapText="1"/>
    </xf>
    <xf numFmtId="14" fontId="3" fillId="0" borderId="1" xfId="0" applyNumberFormat="1" applyFont="1" applyBorder="1" applyAlignment="1">
      <alignment horizontal="center" vertical="center" wrapText="1"/>
    </xf>
    <xf numFmtId="1" fontId="3" fillId="0" borderId="1" xfId="0" applyNumberFormat="1" applyFont="1" applyBorder="1" applyAlignment="1">
      <alignment horizontal="center"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cellXfs>
  <cellStyles count="1">
    <cellStyle name="Normal" xfId="0" builtinId="0"/>
  </cellStyles>
  <dxfs count="4">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9" formatCode="d/mm/yyyy"/>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9" formatCode="d/mm/yyyy"/>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65" formatCode="dd/mm/yyyy"/>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AW60" totalsRowShown="0">
  <autoFilter ref="A2:AW60" xr:uid="{00000000-0009-0000-0100-000001000000}"/>
  <tableColumns count="49">
    <tableColumn id="1" xr3:uid="{00000000-0010-0000-0000-000001000000}" name="BPIN"/>
    <tableColumn id="2" xr3:uid="{00000000-0010-0000-0000-000002000000}" name="ENTIDAD O SECRETARIA"/>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dataDxfId="0"/>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tableColumn id="21" xr3:uid="{00000000-0010-0000-0000-000015000000}" name="AVANCE FISICO"/>
    <tableColumn id="22" xr3:uid="{00000000-0010-0000-0000-000016000000}" name="AVANCE FINANCIERO"/>
    <tableColumn id="23" xr3:uid="{00000000-0010-0000-0000-000017000000}" name="CPI"/>
    <tableColumn id="24" xr3:uid="{00000000-0010-0000-0000-000018000000}" name="SPI"/>
    <tableColumn id="25" xr3:uid="{00000000-0010-0000-0000-000019000000}" name="FECHA APROBACIÓN PROYECTO"/>
    <tableColumn id="26" xr3:uid="{00000000-0010-0000-0000-00001A000000}" name="FECHA DE APERTURA DEL PRIMER PROCESO"/>
    <tableColumn id="27" xr3:uid="{00000000-0010-0000-0000-00001B000000}" name="FECHA DE SUSCRIPCIÓN DEL CONTRATO PRINCIPAL"/>
    <tableColumn id="49" xr3:uid="{4504867D-40BB-4895-B8F9-7569A94E115D}" name="FECHA SUSCRIPCION" dataDxfId="3"/>
    <tableColumn id="28" xr3:uid="{00000000-0010-0000-0000-00001C000000}" name="FECHA ACTA INICIO"/>
    <tableColumn id="29" xr3:uid="{00000000-0010-0000-0000-00001D000000}" name="HORIZONTE DEL PROYECTO"/>
    <tableColumn id="30" xr3:uid="{00000000-0010-0000-0000-00001E000000}" name="FECHA DE FINALIZACIÓN"/>
    <tableColumn id="31" xr3:uid="{00000000-0010-0000-0000-00001F000000}" name="FECHA DE CORTE GESPROY"/>
    <tableColumn id="32" xr3:uid="{00000000-0010-0000-0000-000020000000}" name="INFORMACIÓN SOLICITADA"/>
    <tableColumn id="33" xr3:uid="{00000000-0010-0000-0000-000021000000}" name="INFORMACIÓN RECIBIDA"/>
    <tableColumn id="34" xr3:uid="{00000000-0010-0000-0000-000022000000}" name="FECHA DE RECIBO DE INFORMACIÓN"/>
    <tableColumn id="35" xr3:uid="{00000000-0010-0000-0000-000023000000}" name="DIAS DESDE LA APROBACIÓN HASTA APERTURA DEL PRIMER PROCESO"/>
    <tableColumn id="36" xr3:uid="{00000000-0010-0000-0000-000024000000}" name="DIAS DESDE LA APERTURA HASTA LA FIRMA DEL PRIMER CONTRATO"/>
    <tableColumn id="37" xr3:uid="{00000000-0010-0000-0000-000025000000}" name="DIAS DESDE LA FECHA DE SUSCRIPCIÓN HASTA LA FECHA DEL ACTA DE INICIO"/>
    <tableColumn id="38" xr3:uid="{00000000-0010-0000-0000-000026000000}" name="DESEMPEÑO EN EL CRONOGRAMA"/>
    <tableColumn id="39" xr3:uid="{00000000-0010-0000-0000-000027000000}" name="DESEMPEÑO EN EL COSTO"/>
    <tableColumn id="40" xr3:uid="{00000000-0010-0000-0000-000028000000}" name="COLUMNA APOYO"/>
    <tableColumn id="41" xr3:uid="{00000000-0010-0000-0000-000029000000}" name="BRECHA FISICO - FINANCIERA"/>
    <tableColumn id="42" xr3:uid="{00000000-0010-0000-0000-00002A000000}" name="CONTROL EXTERNALIDADES"/>
    <tableColumn id="43" xr3:uid="{00000000-0010-0000-0000-00002B000000}" name="CALIFICACIÓN DESEMPEÑO EN LA CONTRATACIÓN"/>
    <tableColumn id="44" xr3:uid="{00000000-0010-0000-0000-00002C000000}" name="CALIFICACIÓN INFORMACIÓN A TIEMPO"/>
    <tableColumn id="45" xr3:uid="{00000000-0010-0000-0000-00002D000000}" name="CALIFICACIÓN CALIDAD INFORMACIÓN"/>
    <tableColumn id="46" xr3:uid="{00000000-0010-0000-0000-00002E000000}" name="COLUMNA APOYO 2"/>
    <tableColumn id="47" xr3:uid="{00000000-0010-0000-0000-00002F000000}" name="CALIFICACIÓN EJECUCIÓN DEL PROYECTO"/>
    <tableColumn id="48" xr3:uid="{00000000-0010-0000-0000-000030000000}" name="COMENTARIOS CALIFICACIÓ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L18" totalsRowShown="0">
  <autoFilter ref="A2:AL18" xr:uid="{00000000-0009-0000-0100-000002000000}"/>
  <tableColumns count="38">
    <tableColumn id="1" xr3:uid="{00000000-0010-0000-0100-000001000000}" name="BPIN"/>
    <tableColumn id="2" xr3:uid="{00000000-0010-0000-0100-000002000000}" name="EJECUTOR"/>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
    <tableColumn id="11" xr3:uid="{00000000-0010-0000-0100-00000B000000}" name="VALOR TOTAL"/>
    <tableColumn id="12" xr3:uid="{00000000-0010-0000-0100-00000C000000}" name="FECHA DE MIGRACIÓN A GESPROY"/>
    <tableColumn id="13" xr3:uid="{00000000-0010-0000-0100-00000D000000}" name="FECHA DE ASIGNACIÓN DE RECURSOS"/>
    <tableColumn id="14" xr3:uid="{00000000-0010-0000-0100-00000E000000}" name="FECHA DE INCORPORACIÓN DE RECUROS"/>
    <tableColumn id="15" xr3:uid="{00000000-0010-0000-0100-00000F000000}" name="AVANCE FÍSICO"/>
    <tableColumn id="16" xr3:uid="{00000000-0010-0000-0100-000010000000}" name="AVANCE FINANCIERO"/>
    <tableColumn id="17" xr3:uid="{00000000-0010-0000-0100-000011000000}" name="CPI"/>
    <tableColumn id="18" xr3:uid="{00000000-0010-0000-0100-000012000000}" name="SPI"/>
    <tableColumn id="19" xr3:uid="{00000000-0010-0000-0100-000013000000}" name="FECHA APROBACIÓN PROYECTO"/>
    <tableColumn id="20" xr3:uid="{00000000-0010-0000-0100-000014000000}" name="FECHA DE APERTURA DEL PRIMER PROCESO"/>
    <tableColumn id="21" xr3:uid="{00000000-0010-0000-0100-000015000000}" name="FECHA SUSCRIPCION" dataDxfId="2"/>
    <tableColumn id="38" xr3:uid="{5127B442-BBCD-41A9-9DD8-B336C15E70D5}" name="FECHA DE SUSCRIPCIÓN DEL PRIMER CONTRATO" dataDxfId="1"/>
    <tableColumn id="22" xr3:uid="{00000000-0010-0000-0100-000016000000}" name="FECHA ACTA INICIO"/>
    <tableColumn id="23" xr3:uid="{00000000-0010-0000-0100-000017000000}" name="FECHA DE CORTE GESPROY"/>
    <tableColumn id="24" xr3:uid="{00000000-0010-0000-0100-000018000000}" name="DIAS DESDE LA APROBACIÓN HASTA APERTURA DEL PRIMER PROCESO"/>
    <tableColumn id="25" xr3:uid="{00000000-0010-0000-0100-000019000000}" name="DIAS DESDE LA APERTURA HASTA LA FIRMA DEL PRIMER CONTRATO"/>
    <tableColumn id="26" xr3:uid="{00000000-0010-0000-0100-00001A000000}" name="DIAS DESDE LA FECHA DE SUSCRIPCIÓN HASTA LA FECHA DEL ACTA DE INICIO"/>
    <tableColumn id="27" xr3:uid="{00000000-0010-0000-0100-00001B000000}" name="DESEMPEÑO EN EL CRONOGRAMA"/>
    <tableColumn id="28" xr3:uid="{00000000-0010-0000-0100-00001C000000}" name="DESEMPEÑO EN EL COSTO"/>
    <tableColumn id="29" xr3:uid="{00000000-0010-0000-0100-00001D000000}" name="COLUMNA APOYO"/>
    <tableColumn id="30" xr3:uid="{00000000-0010-0000-0100-00001E000000}" name="BRECHA FISICO - FINANCIERA"/>
    <tableColumn id="31" xr3:uid="{00000000-0010-0000-0100-00001F000000}" name="CONTROL EXTERNALIDADES"/>
    <tableColumn id="32" xr3:uid="{00000000-0010-0000-0100-000020000000}" name="CALIFICACIÓN DESEMPEÑO EN LA CONTRATACIÓN"/>
    <tableColumn id="33" xr3:uid="{00000000-0010-0000-0100-000021000000}" name="CALIFICACIÓN INFORMACIÓN A TIEMPO"/>
    <tableColumn id="34" xr3:uid="{00000000-0010-0000-0100-000022000000}" name="CALIFICACIÓN CALIDAD INFORMACIÓN"/>
    <tableColumn id="35" xr3:uid="{00000000-0010-0000-0100-000023000000}" name="COLUMNA APOYO 2"/>
    <tableColumn id="36" xr3:uid="{00000000-0010-0000-0100-000024000000}" name="CALIFICACIÓN EJECUCIÓN DEL PROYECTO"/>
    <tableColumn id="37" xr3:uid="{00000000-0010-0000-0100-000025000000}" name="COMENTARIOS CALIFICACIÓ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R104" totalsRowShown="0">
  <autoFilter ref="A2:R104" xr:uid="{00000000-0009-0000-0100-000003000000}"/>
  <tableColumns count="18">
    <tableColumn id="1" xr3:uid="{00000000-0010-0000-0200-000001000000}" name="BPIN"/>
    <tableColumn id="2" xr3:uid="{00000000-0010-0000-0200-000002000000}" name="EJECUTOR"/>
    <tableColumn id="3" xr3:uid="{00000000-0010-0000-0200-000003000000}" name="NOMBRE DEL PROYECTO"/>
    <tableColumn id="4" xr3:uid="{00000000-0010-0000-0200-000004000000}" name="ALCANCE"/>
    <tableColumn id="5" xr3:uid="{00000000-0010-0000-0200-000005000000}" name="SECTOR"/>
    <tableColumn id="6" xr3:uid="{00000000-0010-0000-0200-000006000000}" name="FUENTE"/>
    <tableColumn id="7" xr3:uid="{00000000-0010-0000-0200-000007000000}" name="ESTADO PROYECTO"/>
    <tableColumn id="8" xr3:uid="{00000000-0010-0000-0200-000008000000}" name="ESTADO CONTRATO"/>
    <tableColumn id="9" xr3:uid="{00000000-0010-0000-0200-000009000000}" name="VALOR SGR"/>
    <tableColumn id="10" xr3:uid="{00000000-0010-0000-0200-00000A000000}" name="VALOR OTROS"/>
    <tableColumn id="11" xr3:uid="{00000000-0010-0000-0200-00000B000000}" name="VALOR TOTAL"/>
    <tableColumn id="12" xr3:uid="{00000000-0010-0000-0200-00000C000000}" name="FECHA APROBACIÓN PROYECTO"/>
    <tableColumn id="13" xr3:uid="{00000000-0010-0000-0200-00000D000000}" name="FECHA DE ASIGNACIÓN DE RECURSOS"/>
    <tableColumn id="14" xr3:uid="{00000000-0010-0000-0200-00000E000000}" name="FECHA DE INCORPORACIÓN DE RECUROS"/>
    <tableColumn id="15" xr3:uid="{00000000-0010-0000-0200-00000F000000}" name="FECHA ACTA INICIO"/>
    <tableColumn id="16" xr3:uid="{00000000-0010-0000-0200-000010000000}" name="AVANCE FÍSICO"/>
    <tableColumn id="17" xr3:uid="{00000000-0010-0000-0200-000011000000}" name="AVANCE FINANCIERO"/>
    <tableColumn id="18" xr3:uid="{00000000-0010-0000-0200-000012000000}" name="COMENTARIOS "/>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W60"/>
  <sheetViews>
    <sheetView tabSelected="1" topLeftCell="C23" workbookViewId="0">
      <selection activeCell="G23" sqref="G23"/>
    </sheetView>
  </sheetViews>
  <sheetFormatPr baseColWidth="10" defaultColWidth="8.88671875" defaultRowHeight="14.4" x14ac:dyDescent="0.3"/>
  <cols>
    <col min="1" max="2" width="25.6640625" customWidth="1"/>
    <col min="3" max="3" width="33.6640625" customWidth="1"/>
    <col min="4" max="4" width="38" customWidth="1"/>
    <col min="5" max="40" width="25.6640625" customWidth="1"/>
    <col min="41" max="41" width="25.6640625" hidden="1" customWidth="1"/>
    <col min="42" max="46" width="25.6640625" customWidth="1"/>
    <col min="47" max="47" width="25.6640625" hidden="1" customWidth="1"/>
    <col min="48" max="49" width="25.6640625" customWidth="1"/>
  </cols>
  <sheetData>
    <row r="1" spans="1:49" ht="40.049999999999997" customHeight="1" x14ac:dyDescent="0.3">
      <c r="A1" s="8" t="s">
        <v>0</v>
      </c>
      <c r="B1" s="8"/>
      <c r="C1" s="8"/>
      <c r="D1" s="8"/>
      <c r="E1" s="8"/>
      <c r="F1" s="8"/>
      <c r="G1" s="8"/>
      <c r="H1" s="8"/>
      <c r="I1" s="8"/>
      <c r="J1" s="8"/>
      <c r="K1" s="8"/>
      <c r="L1" s="8"/>
      <c r="M1" s="8"/>
      <c r="N1" s="8"/>
      <c r="O1" s="8"/>
      <c r="P1" s="8"/>
      <c r="Q1" s="8"/>
      <c r="R1" s="8"/>
      <c r="S1" s="8"/>
      <c r="T1" s="8"/>
      <c r="U1" s="9" t="s">
        <v>1</v>
      </c>
      <c r="V1" s="9"/>
      <c r="W1" s="9"/>
      <c r="X1" s="9"/>
      <c r="Y1" s="9"/>
      <c r="Z1" s="9"/>
      <c r="AA1" s="9"/>
      <c r="AB1" s="9"/>
      <c r="AC1" s="9"/>
      <c r="AD1" s="9"/>
      <c r="AE1" s="9"/>
      <c r="AF1" s="9"/>
      <c r="AG1" s="9"/>
      <c r="AH1" s="9"/>
      <c r="AI1" s="9"/>
      <c r="AJ1" s="9"/>
      <c r="AK1" s="9"/>
      <c r="AL1" s="9"/>
      <c r="AM1" s="9"/>
      <c r="AN1" s="9"/>
      <c r="AO1" s="9"/>
      <c r="AP1" s="9"/>
      <c r="AQ1" s="9"/>
      <c r="AR1" s="8" t="s">
        <v>2</v>
      </c>
      <c r="AS1" s="8"/>
      <c r="AT1" s="8"/>
      <c r="AU1" s="8"/>
      <c r="AV1" s="8"/>
      <c r="AW1" s="8"/>
    </row>
    <row r="2" spans="1:49" ht="70.05" customHeight="1" x14ac:dyDescent="0.3">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2" t="s">
        <v>23</v>
      </c>
      <c r="V2" s="2" t="s">
        <v>24</v>
      </c>
      <c r="W2" s="2" t="s">
        <v>25</v>
      </c>
      <c r="X2" s="2" t="s">
        <v>26</v>
      </c>
      <c r="Y2" s="2" t="s">
        <v>27</v>
      </c>
      <c r="Z2" s="2" t="s">
        <v>28</v>
      </c>
      <c r="AA2" s="2" t="s">
        <v>916</v>
      </c>
      <c r="AB2" s="2" t="s">
        <v>917</v>
      </c>
      <c r="AC2" s="2" t="s">
        <v>29</v>
      </c>
      <c r="AD2" s="2" t="s">
        <v>30</v>
      </c>
      <c r="AE2" s="2" t="s">
        <v>31</v>
      </c>
      <c r="AF2" s="2" t="s">
        <v>32</v>
      </c>
      <c r="AG2" s="2" t="s">
        <v>33</v>
      </c>
      <c r="AH2" s="2" t="s">
        <v>34</v>
      </c>
      <c r="AI2" s="2" t="s">
        <v>35</v>
      </c>
      <c r="AJ2" s="2" t="s">
        <v>36</v>
      </c>
      <c r="AK2" s="2" t="s">
        <v>37</v>
      </c>
      <c r="AL2" s="2" t="s">
        <v>38</v>
      </c>
      <c r="AM2" s="2" t="s">
        <v>39</v>
      </c>
      <c r="AN2" s="2" t="s">
        <v>40</v>
      </c>
      <c r="AO2" s="2" t="s">
        <v>41</v>
      </c>
      <c r="AP2" s="2" t="s">
        <v>42</v>
      </c>
      <c r="AQ2" s="2" t="s">
        <v>43</v>
      </c>
      <c r="AR2" s="1" t="s">
        <v>44</v>
      </c>
      <c r="AS2" s="1" t="s">
        <v>45</v>
      </c>
      <c r="AT2" s="1" t="s">
        <v>46</v>
      </c>
      <c r="AU2" s="1" t="s">
        <v>47</v>
      </c>
      <c r="AV2" s="1" t="s">
        <v>48</v>
      </c>
      <c r="AW2" s="1" t="s">
        <v>49</v>
      </c>
    </row>
    <row r="3" spans="1:49" ht="70.05" customHeight="1" x14ac:dyDescent="0.3">
      <c r="A3" s="3" t="s">
        <v>50</v>
      </c>
      <c r="B3" s="3" t="s">
        <v>51</v>
      </c>
      <c r="C3" s="3" t="s">
        <v>52</v>
      </c>
      <c r="D3" s="3" t="s">
        <v>53</v>
      </c>
      <c r="E3" s="3" t="s">
        <v>54</v>
      </c>
      <c r="F3" s="3" t="s">
        <v>55</v>
      </c>
      <c r="G3" s="3" t="s">
        <v>56</v>
      </c>
      <c r="H3" s="3" t="s">
        <v>57</v>
      </c>
      <c r="I3" s="3" t="s">
        <v>58</v>
      </c>
      <c r="J3" s="3" t="s">
        <v>59</v>
      </c>
      <c r="K3" s="4">
        <v>1548027380</v>
      </c>
      <c r="L3" s="4">
        <v>0</v>
      </c>
      <c r="M3" s="4">
        <v>0</v>
      </c>
      <c r="N3" s="4">
        <v>0</v>
      </c>
      <c r="O3" s="4">
        <v>1548027380</v>
      </c>
      <c r="P3" s="4">
        <v>1141660214</v>
      </c>
      <c r="Q3" s="5">
        <v>44189</v>
      </c>
      <c r="R3" s="5">
        <v>41534</v>
      </c>
      <c r="S3" s="5">
        <v>41202</v>
      </c>
      <c r="T3" s="5">
        <v>41285</v>
      </c>
      <c r="U3" s="4">
        <v>97.19</v>
      </c>
      <c r="V3" s="4">
        <v>73.75</v>
      </c>
      <c r="W3" s="3"/>
      <c r="X3" s="3"/>
      <c r="Y3" s="5">
        <v>41201</v>
      </c>
      <c r="Z3" s="5">
        <v>42237</v>
      </c>
      <c r="AA3" s="5">
        <v>42254</v>
      </c>
      <c r="AB3" s="6">
        <v>42254</v>
      </c>
      <c r="AC3" s="5">
        <v>42277</v>
      </c>
      <c r="AD3" s="5">
        <v>45260</v>
      </c>
      <c r="AE3" s="5">
        <v>45260</v>
      </c>
      <c r="AF3" s="5">
        <v>46157</v>
      </c>
      <c r="AG3" s="3" t="s">
        <v>60</v>
      </c>
      <c r="AH3" s="3" t="s">
        <v>61</v>
      </c>
      <c r="AI3" s="5">
        <v>46157</v>
      </c>
      <c r="AJ3" s="3"/>
      <c r="AK3" s="3"/>
      <c r="AL3" s="3"/>
      <c r="AM3" s="3" t="str">
        <f t="shared" ref="AM3:AM34" si="0">IF(AND($X3&gt;1.3,$G3="CONTRATADO EN EJECUCIÓN"),0,IF(AND($X3&gt;1.25,$X3&lt;=1.3,$G3="CONTRATADO EN EJECUCIÓN"),30,IF(AND($X3&gt;1.2,$X3&lt;=1.25,$G3="CONTRATADO EN EJECUCIÓN"),90,IF(AND($X3&gt;=0.84,$X3&lt;1.2,$G3="CONTRATADO EN EJECUCIÓN"),100,IF(AND($X3&gt;=0.38,$X3&lt;0.84,$G3="CONTRATADO EN EJECUCIÓN"),(($X3-0.38)/(0.84-0.38))*100,IF(AND($X3&lt;0.38,$G3="CONTRATADO EN EJECUCIÓN"),0,""))))))</f>
        <v/>
      </c>
      <c r="AN3" s="3" t="str">
        <f t="shared" ref="AN3:AN34" si="1">IF(AND($W3&gt;1.3,$G3="CONTRATADO EN EJECUCIÓN"),0,IF(AND($W3&gt;1.25,$W3&lt;=1.3,$G3="CONTRATADO EN EJECUCIÓN"),30,IF(AND($W3&gt;1.2,$W3&lt;=1.25,$G3="CONTRATADO EN EJECUCIÓN"),90,IF(AND($W3&gt;=0.84,$W3&lt;1.2,$G3="CONTRATADO EN EJECUCIÓN"),100,IF(AND($W3&gt;=0.38,$W3&lt;0.84,$G3="CONTRATADO EN EJECUCIÓN"),(($W3-0.38)/(0.84-0.38))*100,IF(AND($W3&lt;0.38,$G3="CONTRATADO EN EJECUCIÓN"),0,""))))))</f>
        <v/>
      </c>
      <c r="AO3" s="3">
        <f t="shared" ref="AO3:AO34" si="2">IF(AND($V3&lt;60,($V3-$U3)&lt;=50),100,IF(AND($V3&lt;60,($V3-$U3)&gt;50),0,IF(AND($V3&gt;=60,$V3&lt;70,($V3-$U3)&lt;=40),100,IF(AND($V3&gt;=60,$V3&lt;70,($V3-$U3)&gt;40),0,IF(AND($V3&gt;=70,$V3&lt;80,($V3-$U3)&lt;=30),100,IF(AND($V3&gt;=70,$V3&lt;80,($V3-$U3)&gt;30),0,IF(AND($V3&gt;=80,$V3&lt;90,($V3-$U3)&lt;=20),100,IF(AND($V3&gt;=80,$V3&lt;90,($V3-$U3)&gt;20),0,IF(AND($V3&gt;=90,$V3&lt;=100,($V3-$U3)&lt;=10),100,IF(AND($V3&gt;=90,$V3&lt;=100,($V3-$U3)&gt;10),0,""))))))))))</f>
        <v>100</v>
      </c>
      <c r="AP3" s="3" t="str">
        <f t="shared" ref="AP3:AP34" si="3">IF(AND($U3&gt;$V3,$G3="CONTRATADO EN EJECUCIÓN"),100,IF(AND($V3&gt;$U3,($V3-$U3)&gt;50,$G3="CONTRATADO EN EJECUCIÓN"),0,IF(AND($V3&gt;$U3,($V3-$U3)&lt;=50,$V3&lt;=60),100,IF(AND($V3&gt;$U3,($V3-$U3)&lt;=50,$V3&gt;60),$AO3,""))))</f>
        <v/>
      </c>
      <c r="AQ3" s="3">
        <v>0</v>
      </c>
      <c r="AR3" s="3"/>
      <c r="AS3" s="3">
        <f t="shared" ref="AS3:AS34" si="4">IF(ISNUMBER($AI3),IF(DAY($AI3)=10,100,IF(DAY($AI3)=11,80,IF(DAY($AI3)=12,50,0))),"")</f>
        <v>0</v>
      </c>
      <c r="AT3" s="4">
        <v>0</v>
      </c>
      <c r="AU3" s="3">
        <f t="shared" ref="AU3:AU34" si="5">IF($AQ3=0,100,IF($AQ3=1,90,IF($AQ3=2,75,IF($AQ3=3,60,IF($AQ3=4,50,IF($AQ3=5,25,IF($AQ3&gt;=6,0,"")))))))</f>
        <v>100</v>
      </c>
      <c r="AV3" s="3" t="str">
        <f t="shared" ref="AV3:AV34" si="6">IFERROR(IF(AND($G3="CONTRATADO EN EJECUCIÓN",$AQ3&gt;=1),(IFERROR(IF(ISTEXT($AG3),($AM3*0.4+$AN3*0.2+$AP3*0.4),""),""))*$AU3/100,IFERROR(IF(ISTEXT($AG3),($AM3*0.4+$AN3*0.2+$AP3*0.4),""),"")),0)</f>
        <v/>
      </c>
      <c r="AW3" s="3" t="s">
        <v>62</v>
      </c>
    </row>
    <row r="4" spans="1:49" ht="70.05" customHeight="1" x14ac:dyDescent="0.3">
      <c r="A4" s="3" t="s">
        <v>63</v>
      </c>
      <c r="B4" s="3" t="s">
        <v>64</v>
      </c>
      <c r="C4" s="3" t="s">
        <v>65</v>
      </c>
      <c r="D4" s="3" t="s">
        <v>66</v>
      </c>
      <c r="E4" s="3" t="s">
        <v>67</v>
      </c>
      <c r="F4" s="3" t="s">
        <v>68</v>
      </c>
      <c r="G4" s="3" t="s">
        <v>56</v>
      </c>
      <c r="H4" s="3" t="s">
        <v>57</v>
      </c>
      <c r="I4" s="3" t="s">
        <v>69</v>
      </c>
      <c r="J4" s="3" t="s">
        <v>70</v>
      </c>
      <c r="K4" s="4">
        <v>5000000000</v>
      </c>
      <c r="L4" s="4">
        <v>0</v>
      </c>
      <c r="M4" s="4">
        <v>2520000000</v>
      </c>
      <c r="N4" s="4">
        <v>0</v>
      </c>
      <c r="O4" s="4">
        <v>7520000000</v>
      </c>
      <c r="P4" s="4">
        <v>4999998982.75</v>
      </c>
      <c r="Q4" s="5">
        <v>43829</v>
      </c>
      <c r="R4" s="5">
        <v>41534</v>
      </c>
      <c r="S4" s="5">
        <v>41264</v>
      </c>
      <c r="T4" s="5">
        <v>41327</v>
      </c>
      <c r="U4" s="4">
        <v>99.05</v>
      </c>
      <c r="V4" s="4">
        <v>100</v>
      </c>
      <c r="W4" s="3"/>
      <c r="X4" s="3"/>
      <c r="Y4" s="5">
        <v>41263</v>
      </c>
      <c r="Z4" s="5">
        <v>41586</v>
      </c>
      <c r="AA4" s="5">
        <v>41586</v>
      </c>
      <c r="AB4" s="6">
        <v>41586</v>
      </c>
      <c r="AC4" s="5">
        <v>41803</v>
      </c>
      <c r="AD4" s="5">
        <v>44742</v>
      </c>
      <c r="AE4" s="5"/>
      <c r="AF4" s="5">
        <v>46157</v>
      </c>
      <c r="AG4" s="3"/>
      <c r="AH4" s="3"/>
      <c r="AI4" s="5"/>
      <c r="AJ4" s="3"/>
      <c r="AK4" s="3"/>
      <c r="AL4" s="3"/>
      <c r="AM4" s="3" t="str">
        <f t="shared" si="0"/>
        <v/>
      </c>
      <c r="AN4" s="3" t="str">
        <f t="shared" si="1"/>
        <v/>
      </c>
      <c r="AO4" s="3">
        <f t="shared" si="2"/>
        <v>100</v>
      </c>
      <c r="AP4" s="3">
        <f t="shared" si="3"/>
        <v>100</v>
      </c>
      <c r="AQ4" s="3">
        <v>0</v>
      </c>
      <c r="AR4" s="3"/>
      <c r="AS4" s="3" t="str">
        <f t="shared" si="4"/>
        <v/>
      </c>
      <c r="AT4" s="4"/>
      <c r="AU4" s="3">
        <f t="shared" si="5"/>
        <v>100</v>
      </c>
      <c r="AV4" s="3" t="str">
        <f t="shared" si="6"/>
        <v/>
      </c>
      <c r="AW4" s="3" t="s">
        <v>71</v>
      </c>
    </row>
    <row r="5" spans="1:49" ht="70.05" customHeight="1" x14ac:dyDescent="0.3">
      <c r="A5" s="3" t="s">
        <v>72</v>
      </c>
      <c r="B5" s="3" t="s">
        <v>73</v>
      </c>
      <c r="C5" s="3" t="s">
        <v>74</v>
      </c>
      <c r="D5" s="3" t="s">
        <v>75</v>
      </c>
      <c r="E5" s="3" t="s">
        <v>67</v>
      </c>
      <c r="F5" s="3" t="s">
        <v>76</v>
      </c>
      <c r="G5" s="3" t="s">
        <v>56</v>
      </c>
      <c r="H5" s="3" t="s">
        <v>57</v>
      </c>
      <c r="I5" s="3" t="s">
        <v>69</v>
      </c>
      <c r="J5" s="3" t="s">
        <v>70</v>
      </c>
      <c r="K5" s="4">
        <v>4081742194</v>
      </c>
      <c r="L5" s="4">
        <v>0</v>
      </c>
      <c r="M5" s="4">
        <v>1551552044</v>
      </c>
      <c r="N5" s="4">
        <v>0</v>
      </c>
      <c r="O5" s="4">
        <v>5633294238</v>
      </c>
      <c r="P5" s="4">
        <v>3947804318</v>
      </c>
      <c r="Q5" s="5">
        <v>43782</v>
      </c>
      <c r="R5" s="5">
        <v>41576</v>
      </c>
      <c r="S5" s="5">
        <v>41566</v>
      </c>
      <c r="T5" s="5">
        <v>41596</v>
      </c>
      <c r="U5" s="4">
        <v>98.69</v>
      </c>
      <c r="V5" s="4">
        <v>94.36</v>
      </c>
      <c r="W5" s="3"/>
      <c r="X5" s="3"/>
      <c r="Y5" s="5">
        <v>41565</v>
      </c>
      <c r="Z5" s="5">
        <v>41907</v>
      </c>
      <c r="AA5" s="5">
        <v>41908</v>
      </c>
      <c r="AB5" s="6">
        <v>41908</v>
      </c>
      <c r="AC5" s="5">
        <v>42038</v>
      </c>
      <c r="AD5" s="5">
        <v>44561</v>
      </c>
      <c r="AE5" s="5">
        <v>45689</v>
      </c>
      <c r="AF5" s="5">
        <v>46157</v>
      </c>
      <c r="AG5" s="3" t="s">
        <v>77</v>
      </c>
      <c r="AH5" s="3" t="s">
        <v>78</v>
      </c>
      <c r="AI5" s="5">
        <v>46157</v>
      </c>
      <c r="AJ5" s="3"/>
      <c r="AK5" s="3"/>
      <c r="AL5" s="3"/>
      <c r="AM5" s="3" t="str">
        <f t="shared" si="0"/>
        <v/>
      </c>
      <c r="AN5" s="3" t="str">
        <f t="shared" si="1"/>
        <v/>
      </c>
      <c r="AO5" s="3">
        <f t="shared" si="2"/>
        <v>100</v>
      </c>
      <c r="AP5" s="3" t="str">
        <f t="shared" si="3"/>
        <v/>
      </c>
      <c r="AQ5" s="3">
        <v>0</v>
      </c>
      <c r="AR5" s="3"/>
      <c r="AS5" s="3">
        <f t="shared" si="4"/>
        <v>0</v>
      </c>
      <c r="AT5" s="4">
        <v>0</v>
      </c>
      <c r="AU5" s="3">
        <f t="shared" si="5"/>
        <v>100</v>
      </c>
      <c r="AV5" s="3" t="str">
        <f t="shared" si="6"/>
        <v/>
      </c>
      <c r="AW5" s="3" t="s">
        <v>79</v>
      </c>
    </row>
    <row r="6" spans="1:49" ht="70.05" customHeight="1" x14ac:dyDescent="0.3">
      <c r="A6" s="3" t="s">
        <v>80</v>
      </c>
      <c r="B6" s="3" t="s">
        <v>81</v>
      </c>
      <c r="C6" s="3" t="s">
        <v>82</v>
      </c>
      <c r="D6" s="3" t="s">
        <v>83</v>
      </c>
      <c r="E6" s="3" t="s">
        <v>67</v>
      </c>
      <c r="F6" s="3" t="s">
        <v>84</v>
      </c>
      <c r="G6" s="3" t="s">
        <v>85</v>
      </c>
      <c r="H6" s="3" t="s">
        <v>86</v>
      </c>
      <c r="I6" s="3" t="s">
        <v>69</v>
      </c>
      <c r="J6" s="3" t="s">
        <v>70</v>
      </c>
      <c r="K6" s="4">
        <v>14661580598</v>
      </c>
      <c r="L6" s="4">
        <v>0</v>
      </c>
      <c r="M6" s="4">
        <v>709988000</v>
      </c>
      <c r="N6" s="4">
        <v>0</v>
      </c>
      <c r="O6" s="4">
        <v>15371568598</v>
      </c>
      <c r="P6" s="4">
        <v>14655980598</v>
      </c>
      <c r="Q6" s="5">
        <v>42003</v>
      </c>
      <c r="R6" s="5">
        <v>41563</v>
      </c>
      <c r="S6" s="5">
        <v>41535</v>
      </c>
      <c r="T6" s="5">
        <v>41535</v>
      </c>
      <c r="U6" s="4">
        <v>95.65</v>
      </c>
      <c r="V6" s="4">
        <v>97.17</v>
      </c>
      <c r="W6" s="3">
        <v>0</v>
      </c>
      <c r="X6" s="3">
        <v>0</v>
      </c>
      <c r="Y6" s="5">
        <v>41474</v>
      </c>
      <c r="Z6" s="5">
        <v>41586</v>
      </c>
      <c r="AA6" s="5">
        <v>41586</v>
      </c>
      <c r="AB6" s="6">
        <v>41586</v>
      </c>
      <c r="AC6" s="5">
        <v>41586</v>
      </c>
      <c r="AD6" s="5">
        <v>45260</v>
      </c>
      <c r="AE6" s="5"/>
      <c r="AF6" s="5">
        <v>46157</v>
      </c>
      <c r="AG6" s="3" t="s">
        <v>87</v>
      </c>
      <c r="AH6" s="3" t="s">
        <v>61</v>
      </c>
      <c r="AI6" s="5">
        <v>46157</v>
      </c>
      <c r="AJ6" s="3"/>
      <c r="AK6" s="3"/>
      <c r="AL6" s="3"/>
      <c r="AM6" s="3">
        <f t="shared" si="0"/>
        <v>0</v>
      </c>
      <c r="AN6" s="3">
        <f t="shared" si="1"/>
        <v>0</v>
      </c>
      <c r="AO6" s="3">
        <f t="shared" si="2"/>
        <v>100</v>
      </c>
      <c r="AP6" s="3">
        <f t="shared" si="3"/>
        <v>100</v>
      </c>
      <c r="AQ6" s="3">
        <v>0</v>
      </c>
      <c r="AR6" s="3"/>
      <c r="AS6" s="3">
        <f t="shared" si="4"/>
        <v>0</v>
      </c>
      <c r="AT6" s="4">
        <v>0</v>
      </c>
      <c r="AU6" s="3">
        <f t="shared" si="5"/>
        <v>100</v>
      </c>
      <c r="AV6" s="3">
        <f t="shared" si="6"/>
        <v>40</v>
      </c>
      <c r="AW6" s="3" t="s">
        <v>88</v>
      </c>
    </row>
    <row r="7" spans="1:49" ht="70.05" customHeight="1" x14ac:dyDescent="0.3">
      <c r="A7" s="3" t="s">
        <v>89</v>
      </c>
      <c r="B7" s="3" t="s">
        <v>90</v>
      </c>
      <c r="C7" s="3" t="s">
        <v>91</v>
      </c>
      <c r="D7" s="3" t="s">
        <v>92</v>
      </c>
      <c r="E7" s="3" t="s">
        <v>93</v>
      </c>
      <c r="F7" s="3" t="s">
        <v>94</v>
      </c>
      <c r="G7" s="3" t="s">
        <v>56</v>
      </c>
      <c r="H7" s="3" t="s">
        <v>57</v>
      </c>
      <c r="I7" s="3" t="s">
        <v>95</v>
      </c>
      <c r="J7" s="3" t="s">
        <v>96</v>
      </c>
      <c r="K7" s="4">
        <v>30476618849</v>
      </c>
      <c r="L7" s="4">
        <v>0</v>
      </c>
      <c r="M7" s="4">
        <v>422485223</v>
      </c>
      <c r="N7" s="4">
        <v>0</v>
      </c>
      <c r="O7" s="4">
        <v>30899104072</v>
      </c>
      <c r="P7" s="4">
        <v>30484288996.669998</v>
      </c>
      <c r="Q7" s="5">
        <v>46150</v>
      </c>
      <c r="R7" s="5">
        <v>42662</v>
      </c>
      <c r="S7" s="5">
        <v>42658</v>
      </c>
      <c r="T7" s="5">
        <v>42746</v>
      </c>
      <c r="U7" s="4">
        <v>100</v>
      </c>
      <c r="V7" s="4">
        <v>98.66</v>
      </c>
      <c r="W7" s="3"/>
      <c r="X7" s="3"/>
      <c r="Y7" s="5">
        <v>42657</v>
      </c>
      <c r="Z7" s="5">
        <v>42909</v>
      </c>
      <c r="AA7" s="5">
        <v>42986</v>
      </c>
      <c r="AB7" s="6">
        <v>42986</v>
      </c>
      <c r="AC7" s="5">
        <v>43207</v>
      </c>
      <c r="AD7" s="5">
        <v>45527</v>
      </c>
      <c r="AE7" s="5">
        <v>45527</v>
      </c>
      <c r="AF7" s="5">
        <v>46157</v>
      </c>
      <c r="AG7" s="3" t="s">
        <v>97</v>
      </c>
      <c r="AH7" s="3" t="s">
        <v>98</v>
      </c>
      <c r="AI7" s="5">
        <v>46152</v>
      </c>
      <c r="AJ7" s="3"/>
      <c r="AK7" s="3"/>
      <c r="AL7" s="3"/>
      <c r="AM7" s="3" t="str">
        <f t="shared" si="0"/>
        <v/>
      </c>
      <c r="AN7" s="3" t="str">
        <f t="shared" si="1"/>
        <v/>
      </c>
      <c r="AO7" s="3">
        <f t="shared" si="2"/>
        <v>100</v>
      </c>
      <c r="AP7" s="3" t="str">
        <f t="shared" si="3"/>
        <v/>
      </c>
      <c r="AQ7" s="3">
        <v>1</v>
      </c>
      <c r="AR7" s="3"/>
      <c r="AS7" s="3">
        <f t="shared" si="4"/>
        <v>100</v>
      </c>
      <c r="AT7" s="4">
        <v>50</v>
      </c>
      <c r="AU7" s="3">
        <f t="shared" si="5"/>
        <v>90</v>
      </c>
      <c r="AV7" s="3" t="str">
        <f t="shared" si="6"/>
        <v/>
      </c>
      <c r="AW7" s="3" t="s">
        <v>99</v>
      </c>
    </row>
    <row r="8" spans="1:49" ht="70.05" customHeight="1" x14ac:dyDescent="0.3">
      <c r="A8" s="3" t="s">
        <v>100</v>
      </c>
      <c r="B8" s="3" t="s">
        <v>81</v>
      </c>
      <c r="C8" s="3" t="s">
        <v>101</v>
      </c>
      <c r="D8" s="3" t="s">
        <v>102</v>
      </c>
      <c r="E8" s="3" t="s">
        <v>67</v>
      </c>
      <c r="F8" s="3" t="s">
        <v>103</v>
      </c>
      <c r="G8" s="3" t="s">
        <v>208</v>
      </c>
      <c r="H8" s="3" t="s">
        <v>104</v>
      </c>
      <c r="I8" s="3" t="s">
        <v>69</v>
      </c>
      <c r="J8" s="3" t="s">
        <v>105</v>
      </c>
      <c r="K8" s="4">
        <v>11741345301</v>
      </c>
      <c r="L8" s="4">
        <v>0</v>
      </c>
      <c r="M8" s="4">
        <v>265600000</v>
      </c>
      <c r="N8" s="4">
        <v>0</v>
      </c>
      <c r="O8" s="4">
        <v>12006945301</v>
      </c>
      <c r="P8" s="4">
        <v>11473460596.700001</v>
      </c>
      <c r="Q8" s="5">
        <v>44868</v>
      </c>
      <c r="R8" s="5">
        <v>43019</v>
      </c>
      <c r="S8" s="5">
        <v>42914</v>
      </c>
      <c r="T8" s="5">
        <v>42823</v>
      </c>
      <c r="U8" s="4">
        <v>100</v>
      </c>
      <c r="V8" s="4">
        <v>97.77</v>
      </c>
      <c r="W8" s="3"/>
      <c r="X8" s="3"/>
      <c r="Y8" s="5">
        <v>42801</v>
      </c>
      <c r="Z8" s="5">
        <v>43048</v>
      </c>
      <c r="AA8" s="5">
        <v>43095</v>
      </c>
      <c r="AB8" s="6">
        <v>43095</v>
      </c>
      <c r="AC8" s="5">
        <v>43280</v>
      </c>
      <c r="AD8" s="5">
        <v>44926</v>
      </c>
      <c r="AE8" s="5">
        <v>44926</v>
      </c>
      <c r="AF8" s="5">
        <v>46157</v>
      </c>
      <c r="AG8" s="3" t="s">
        <v>60</v>
      </c>
      <c r="AH8" s="3" t="s">
        <v>61</v>
      </c>
      <c r="AI8" s="5">
        <v>46157</v>
      </c>
      <c r="AJ8" s="3"/>
      <c r="AK8" s="3"/>
      <c r="AL8" s="3"/>
      <c r="AM8" s="3" t="str">
        <f t="shared" si="0"/>
        <v/>
      </c>
      <c r="AN8" s="3" t="str">
        <f t="shared" si="1"/>
        <v/>
      </c>
      <c r="AO8" s="3">
        <f t="shared" si="2"/>
        <v>100</v>
      </c>
      <c r="AP8" s="3" t="str">
        <f t="shared" si="3"/>
        <v/>
      </c>
      <c r="AQ8" s="3">
        <v>0</v>
      </c>
      <c r="AR8" s="3"/>
      <c r="AS8" s="3">
        <f t="shared" si="4"/>
        <v>0</v>
      </c>
      <c r="AT8" s="4">
        <v>0</v>
      </c>
      <c r="AU8" s="3">
        <f t="shared" si="5"/>
        <v>100</v>
      </c>
      <c r="AV8" s="3" t="str">
        <f t="shared" si="6"/>
        <v/>
      </c>
      <c r="AW8" s="3" t="s">
        <v>106</v>
      </c>
    </row>
    <row r="9" spans="1:49" ht="70.05" customHeight="1" x14ac:dyDescent="0.3">
      <c r="A9" s="3" t="s">
        <v>107</v>
      </c>
      <c r="B9" s="3" t="s">
        <v>90</v>
      </c>
      <c r="C9" s="3" t="s">
        <v>108</v>
      </c>
      <c r="D9" s="3" t="s">
        <v>109</v>
      </c>
      <c r="E9" s="3" t="s">
        <v>93</v>
      </c>
      <c r="F9" s="3" t="s">
        <v>110</v>
      </c>
      <c r="G9" s="3" t="s">
        <v>85</v>
      </c>
      <c r="H9" s="3" t="s">
        <v>86</v>
      </c>
      <c r="I9" s="3" t="s">
        <v>95</v>
      </c>
      <c r="J9" s="3" t="s">
        <v>59</v>
      </c>
      <c r="K9" s="4">
        <v>189749519481.00461</v>
      </c>
      <c r="L9" s="4">
        <v>0</v>
      </c>
      <c r="M9" s="4">
        <v>0</v>
      </c>
      <c r="N9" s="4">
        <v>0</v>
      </c>
      <c r="O9" s="4">
        <v>189749519481.00461</v>
      </c>
      <c r="P9" s="4">
        <v>188735128008.62</v>
      </c>
      <c r="Q9" s="5">
        <v>45656</v>
      </c>
      <c r="R9" s="5">
        <v>42942</v>
      </c>
      <c r="S9" s="5">
        <v>42923</v>
      </c>
      <c r="T9" s="5">
        <v>42970</v>
      </c>
      <c r="U9" s="4">
        <v>91.6</v>
      </c>
      <c r="V9" s="4">
        <v>99.47</v>
      </c>
      <c r="W9" s="3">
        <v>0</v>
      </c>
      <c r="X9" s="3">
        <v>0</v>
      </c>
      <c r="Y9" s="5">
        <v>42922</v>
      </c>
      <c r="Z9" s="5">
        <v>43249</v>
      </c>
      <c r="AA9" s="5">
        <v>43532</v>
      </c>
      <c r="AB9" s="6">
        <v>43532</v>
      </c>
      <c r="AC9" s="5">
        <v>43591</v>
      </c>
      <c r="AD9" s="5">
        <v>45467</v>
      </c>
      <c r="AE9" s="5">
        <v>45467</v>
      </c>
      <c r="AF9" s="5">
        <v>46157</v>
      </c>
      <c r="AG9" s="3" t="s">
        <v>111</v>
      </c>
      <c r="AH9" s="3" t="s">
        <v>112</v>
      </c>
      <c r="AI9" s="5">
        <v>46152</v>
      </c>
      <c r="AJ9" s="3"/>
      <c r="AK9" s="3"/>
      <c r="AL9" s="3"/>
      <c r="AM9" s="3">
        <f t="shared" si="0"/>
        <v>0</v>
      </c>
      <c r="AN9" s="3">
        <f t="shared" si="1"/>
        <v>0</v>
      </c>
      <c r="AO9" s="3">
        <f t="shared" si="2"/>
        <v>100</v>
      </c>
      <c r="AP9" s="3">
        <f t="shared" si="3"/>
        <v>100</v>
      </c>
      <c r="AQ9" s="3">
        <v>0</v>
      </c>
      <c r="AR9" s="3"/>
      <c r="AS9" s="3">
        <f t="shared" si="4"/>
        <v>100</v>
      </c>
      <c r="AT9" s="4">
        <v>0</v>
      </c>
      <c r="AU9" s="3">
        <f t="shared" si="5"/>
        <v>100</v>
      </c>
      <c r="AV9" s="3">
        <f t="shared" si="6"/>
        <v>40</v>
      </c>
      <c r="AW9" s="3" t="s">
        <v>113</v>
      </c>
    </row>
    <row r="10" spans="1:49" ht="70.05" customHeight="1" x14ac:dyDescent="0.3">
      <c r="A10" s="3" t="s">
        <v>114</v>
      </c>
      <c r="B10" s="3" t="s">
        <v>73</v>
      </c>
      <c r="C10" s="3" t="s">
        <v>115</v>
      </c>
      <c r="D10" s="3" t="s">
        <v>116</v>
      </c>
      <c r="E10" s="3" t="s">
        <v>67</v>
      </c>
      <c r="F10" s="3" t="s">
        <v>117</v>
      </c>
      <c r="G10" s="3" t="s">
        <v>56</v>
      </c>
      <c r="H10" s="3" t="s">
        <v>57</v>
      </c>
      <c r="I10" s="3" t="s">
        <v>118</v>
      </c>
      <c r="J10" s="3" t="s">
        <v>70</v>
      </c>
      <c r="K10" s="4">
        <v>15331463849</v>
      </c>
      <c r="L10" s="4">
        <v>0</v>
      </c>
      <c r="M10" s="4">
        <v>201232188</v>
      </c>
      <c r="N10" s="4">
        <v>0</v>
      </c>
      <c r="O10" s="4">
        <v>15532696037</v>
      </c>
      <c r="P10" s="4">
        <v>15173637605</v>
      </c>
      <c r="Q10" s="5">
        <v>44918</v>
      </c>
      <c r="R10" s="5">
        <v>43815</v>
      </c>
      <c r="S10" s="5">
        <v>43790</v>
      </c>
      <c r="T10" s="5">
        <v>43789</v>
      </c>
      <c r="U10" s="4">
        <v>100</v>
      </c>
      <c r="V10" s="4">
        <v>98.98</v>
      </c>
      <c r="W10" s="3"/>
      <c r="X10" s="3"/>
      <c r="Y10" s="5">
        <v>43781</v>
      </c>
      <c r="Z10" s="5">
        <v>43819</v>
      </c>
      <c r="AA10" s="5">
        <v>43826</v>
      </c>
      <c r="AB10" s="6">
        <v>43826</v>
      </c>
      <c r="AC10" s="5">
        <v>43908</v>
      </c>
      <c r="AD10" s="5">
        <v>44742</v>
      </c>
      <c r="AE10" s="5">
        <v>44742</v>
      </c>
      <c r="AF10" s="5">
        <v>46157</v>
      </c>
      <c r="AG10" s="3" t="s">
        <v>119</v>
      </c>
      <c r="AH10" s="3" t="s">
        <v>120</v>
      </c>
      <c r="AI10" s="5">
        <v>46157</v>
      </c>
      <c r="AJ10" s="3"/>
      <c r="AK10" s="3"/>
      <c r="AL10" s="3"/>
      <c r="AM10" s="3" t="str">
        <f t="shared" si="0"/>
        <v/>
      </c>
      <c r="AN10" s="3" t="str">
        <f t="shared" si="1"/>
        <v/>
      </c>
      <c r="AO10" s="3">
        <f t="shared" si="2"/>
        <v>100</v>
      </c>
      <c r="AP10" s="3" t="str">
        <f t="shared" si="3"/>
        <v/>
      </c>
      <c r="AQ10" s="3">
        <v>0</v>
      </c>
      <c r="AR10" s="3"/>
      <c r="AS10" s="3">
        <f t="shared" si="4"/>
        <v>0</v>
      </c>
      <c r="AT10" s="4">
        <v>0</v>
      </c>
      <c r="AU10" s="3">
        <f t="shared" si="5"/>
        <v>100</v>
      </c>
      <c r="AV10" s="3" t="str">
        <f t="shared" si="6"/>
        <v/>
      </c>
      <c r="AW10" s="3" t="s">
        <v>79</v>
      </c>
    </row>
    <row r="11" spans="1:49" ht="70.05" customHeight="1" x14ac:dyDescent="0.3">
      <c r="A11" s="3" t="s">
        <v>121</v>
      </c>
      <c r="B11" s="3" t="s">
        <v>73</v>
      </c>
      <c r="C11" s="3" t="s">
        <v>122</v>
      </c>
      <c r="D11" s="3" t="s">
        <v>123</v>
      </c>
      <c r="E11" s="3" t="s">
        <v>67</v>
      </c>
      <c r="F11" s="3" t="s">
        <v>124</v>
      </c>
      <c r="G11" s="3" t="s">
        <v>56</v>
      </c>
      <c r="H11" s="3" t="s">
        <v>57</v>
      </c>
      <c r="I11" s="3" t="s">
        <v>69</v>
      </c>
      <c r="J11" s="3" t="s">
        <v>70</v>
      </c>
      <c r="K11" s="4">
        <v>14300800098.139999</v>
      </c>
      <c r="L11" s="4">
        <v>0</v>
      </c>
      <c r="M11" s="4">
        <v>493878438</v>
      </c>
      <c r="N11" s="4">
        <v>0</v>
      </c>
      <c r="O11" s="4">
        <v>14794678536.139999</v>
      </c>
      <c r="P11" s="4">
        <v>13948285627.540001</v>
      </c>
      <c r="Q11" s="5">
        <v>44839</v>
      </c>
      <c r="R11" s="5">
        <v>43348</v>
      </c>
      <c r="S11" s="5">
        <v>43323</v>
      </c>
      <c r="T11" s="5">
        <v>43385</v>
      </c>
      <c r="U11" s="4">
        <v>97.37</v>
      </c>
      <c r="V11" s="4">
        <v>97.61</v>
      </c>
      <c r="W11" s="3"/>
      <c r="X11" s="3"/>
      <c r="Y11" s="5">
        <v>43322</v>
      </c>
      <c r="Z11" s="5">
        <v>43444</v>
      </c>
      <c r="AA11" s="5">
        <v>43508</v>
      </c>
      <c r="AB11" s="6">
        <v>43508</v>
      </c>
      <c r="AC11" s="5">
        <v>43543</v>
      </c>
      <c r="AD11" s="5">
        <v>44592</v>
      </c>
      <c r="AE11" s="5">
        <v>44592</v>
      </c>
      <c r="AF11" s="5">
        <v>46157</v>
      </c>
      <c r="AG11" s="3" t="s">
        <v>125</v>
      </c>
      <c r="AH11" s="3" t="s">
        <v>120</v>
      </c>
      <c r="AI11" s="5">
        <v>46157</v>
      </c>
      <c r="AJ11" s="3"/>
      <c r="AK11" s="3"/>
      <c r="AL11" s="3"/>
      <c r="AM11" s="3" t="str">
        <f t="shared" si="0"/>
        <v/>
      </c>
      <c r="AN11" s="3" t="str">
        <f t="shared" si="1"/>
        <v/>
      </c>
      <c r="AO11" s="3">
        <f t="shared" si="2"/>
        <v>100</v>
      </c>
      <c r="AP11" s="3">
        <f t="shared" si="3"/>
        <v>100</v>
      </c>
      <c r="AQ11" s="3">
        <v>0</v>
      </c>
      <c r="AR11" s="3"/>
      <c r="AS11" s="3">
        <f t="shared" si="4"/>
        <v>0</v>
      </c>
      <c r="AT11" s="4">
        <v>0</v>
      </c>
      <c r="AU11" s="3">
        <f t="shared" si="5"/>
        <v>100</v>
      </c>
      <c r="AV11" s="3" t="str">
        <f t="shared" si="6"/>
        <v/>
      </c>
      <c r="AW11" s="3" t="s">
        <v>79</v>
      </c>
    </row>
    <row r="12" spans="1:49" ht="70.05" customHeight="1" x14ac:dyDescent="0.3">
      <c r="A12" s="3" t="s">
        <v>126</v>
      </c>
      <c r="B12" s="3" t="s">
        <v>90</v>
      </c>
      <c r="C12" s="3" t="s">
        <v>127</v>
      </c>
      <c r="D12" s="3" t="s">
        <v>128</v>
      </c>
      <c r="E12" s="3" t="s">
        <v>93</v>
      </c>
      <c r="F12" s="3" t="s">
        <v>129</v>
      </c>
      <c r="G12" s="3" t="s">
        <v>56</v>
      </c>
      <c r="H12" s="3" t="s">
        <v>57</v>
      </c>
      <c r="I12" s="3" t="s">
        <v>95</v>
      </c>
      <c r="J12" s="3" t="s">
        <v>130</v>
      </c>
      <c r="K12" s="4">
        <v>66912604863.639999</v>
      </c>
      <c r="L12" s="4">
        <v>0</v>
      </c>
      <c r="M12" s="4">
        <v>0</v>
      </c>
      <c r="N12" s="4">
        <v>0</v>
      </c>
      <c r="O12" s="4">
        <v>66912604863.639999</v>
      </c>
      <c r="P12" s="4">
        <v>65182688683.440002</v>
      </c>
      <c r="Q12" s="5">
        <v>45653</v>
      </c>
      <c r="R12" s="5">
        <v>43433</v>
      </c>
      <c r="S12" s="5">
        <v>43224</v>
      </c>
      <c r="T12" s="5">
        <v>43613</v>
      </c>
      <c r="U12" s="4">
        <v>99.61</v>
      </c>
      <c r="V12" s="4">
        <v>97.41</v>
      </c>
      <c r="W12" s="3"/>
      <c r="X12" s="3"/>
      <c r="Y12" s="5">
        <v>43193</v>
      </c>
      <c r="Z12" s="5">
        <v>43628</v>
      </c>
      <c r="AA12" s="5">
        <v>43753</v>
      </c>
      <c r="AB12" s="6">
        <v>43753</v>
      </c>
      <c r="AC12" s="5">
        <v>43781</v>
      </c>
      <c r="AD12" s="5">
        <v>45351</v>
      </c>
      <c r="AE12" s="5">
        <v>45351</v>
      </c>
      <c r="AF12" s="5">
        <v>46157</v>
      </c>
      <c r="AG12" s="3" t="s">
        <v>131</v>
      </c>
      <c r="AH12" s="3" t="s">
        <v>132</v>
      </c>
      <c r="AI12" s="5">
        <v>46152</v>
      </c>
      <c r="AJ12" s="3"/>
      <c r="AK12" s="3"/>
      <c r="AL12" s="3"/>
      <c r="AM12" s="3" t="str">
        <f t="shared" si="0"/>
        <v/>
      </c>
      <c r="AN12" s="3" t="str">
        <f t="shared" si="1"/>
        <v/>
      </c>
      <c r="AO12" s="3">
        <f t="shared" si="2"/>
        <v>100</v>
      </c>
      <c r="AP12" s="3" t="str">
        <f t="shared" si="3"/>
        <v/>
      </c>
      <c r="AQ12" s="3">
        <v>0</v>
      </c>
      <c r="AR12" s="3"/>
      <c r="AS12" s="3">
        <f t="shared" si="4"/>
        <v>100</v>
      </c>
      <c r="AT12" s="4">
        <v>0</v>
      </c>
      <c r="AU12" s="3">
        <f t="shared" si="5"/>
        <v>100</v>
      </c>
      <c r="AV12" s="3" t="str">
        <f t="shared" si="6"/>
        <v/>
      </c>
      <c r="AW12" s="3" t="s">
        <v>133</v>
      </c>
    </row>
    <row r="13" spans="1:49" ht="70.05" customHeight="1" x14ac:dyDescent="0.3">
      <c r="A13" s="3" t="s">
        <v>134</v>
      </c>
      <c r="B13" s="3" t="s">
        <v>73</v>
      </c>
      <c r="C13" s="3" t="s">
        <v>135</v>
      </c>
      <c r="D13" s="3" t="s">
        <v>136</v>
      </c>
      <c r="E13" s="3" t="s">
        <v>137</v>
      </c>
      <c r="F13" s="3" t="s">
        <v>138</v>
      </c>
      <c r="G13" s="3" t="s">
        <v>85</v>
      </c>
      <c r="H13" s="3" t="s">
        <v>86</v>
      </c>
      <c r="I13" s="3" t="s">
        <v>139</v>
      </c>
      <c r="J13" s="3" t="s">
        <v>140</v>
      </c>
      <c r="K13" s="4">
        <v>14525812035</v>
      </c>
      <c r="L13" s="4">
        <v>0</v>
      </c>
      <c r="M13" s="4">
        <v>0</v>
      </c>
      <c r="N13" s="4">
        <v>0</v>
      </c>
      <c r="O13" s="4">
        <v>14525812035</v>
      </c>
      <c r="P13" s="4">
        <v>13157700631.99</v>
      </c>
      <c r="Q13" s="5">
        <v>45603</v>
      </c>
      <c r="R13" s="5">
        <v>45076</v>
      </c>
      <c r="S13" s="5">
        <v>45066</v>
      </c>
      <c r="T13" s="5">
        <v>45084</v>
      </c>
      <c r="U13" s="4">
        <v>0</v>
      </c>
      <c r="V13" s="4">
        <v>90.58</v>
      </c>
      <c r="W13" s="3">
        <v>0</v>
      </c>
      <c r="X13" s="3">
        <v>0</v>
      </c>
      <c r="Y13" s="5">
        <v>45064</v>
      </c>
      <c r="Z13" s="5">
        <v>45260</v>
      </c>
      <c r="AA13" s="5">
        <v>45289</v>
      </c>
      <c r="AB13" s="6">
        <v>45289</v>
      </c>
      <c r="AC13" s="5">
        <v>45301</v>
      </c>
      <c r="AD13" s="5">
        <v>45987</v>
      </c>
      <c r="AE13" s="5"/>
      <c r="AF13" s="5">
        <v>46157</v>
      </c>
      <c r="AG13" s="3" t="s">
        <v>141</v>
      </c>
      <c r="AH13" s="3" t="s">
        <v>142</v>
      </c>
      <c r="AI13" s="5">
        <v>46152</v>
      </c>
      <c r="AJ13" s="3"/>
      <c r="AK13" s="3"/>
      <c r="AL13" s="3"/>
      <c r="AM13" s="3">
        <f t="shared" si="0"/>
        <v>0</v>
      </c>
      <c r="AN13" s="3">
        <f t="shared" si="1"/>
        <v>0</v>
      </c>
      <c r="AO13" s="3">
        <f t="shared" si="2"/>
        <v>0</v>
      </c>
      <c r="AP13" s="3">
        <f t="shared" si="3"/>
        <v>0</v>
      </c>
      <c r="AQ13" s="3">
        <v>1</v>
      </c>
      <c r="AR13" s="3"/>
      <c r="AS13" s="3">
        <f t="shared" si="4"/>
        <v>100</v>
      </c>
      <c r="AT13" s="4">
        <v>100</v>
      </c>
      <c r="AU13" s="3">
        <f t="shared" si="5"/>
        <v>90</v>
      </c>
      <c r="AV13" s="3">
        <f t="shared" si="6"/>
        <v>0</v>
      </c>
      <c r="AW13" s="3" t="s">
        <v>143</v>
      </c>
    </row>
    <row r="14" spans="1:49" ht="70.05" customHeight="1" x14ac:dyDescent="0.3">
      <c r="A14" s="3" t="s">
        <v>144</v>
      </c>
      <c r="B14" s="3" t="s">
        <v>90</v>
      </c>
      <c r="C14" s="3" t="s">
        <v>145</v>
      </c>
      <c r="D14" s="3" t="s">
        <v>146</v>
      </c>
      <c r="E14" s="3" t="s">
        <v>93</v>
      </c>
      <c r="F14" s="3" t="s">
        <v>147</v>
      </c>
      <c r="G14" s="3" t="s">
        <v>56</v>
      </c>
      <c r="H14" s="3" t="s">
        <v>57</v>
      </c>
      <c r="I14" s="3" t="s">
        <v>58</v>
      </c>
      <c r="J14" s="3" t="s">
        <v>96</v>
      </c>
      <c r="K14" s="4">
        <v>4457416400</v>
      </c>
      <c r="L14" s="4">
        <v>0</v>
      </c>
      <c r="M14" s="4">
        <v>0</v>
      </c>
      <c r="N14" s="4">
        <v>0</v>
      </c>
      <c r="O14" s="4">
        <v>4457416400</v>
      </c>
      <c r="P14" s="4">
        <v>4434194362.5</v>
      </c>
      <c r="Q14" s="5">
        <v>45656</v>
      </c>
      <c r="R14" s="5">
        <v>44199</v>
      </c>
      <c r="S14" s="5">
        <v>44196</v>
      </c>
      <c r="T14" s="5">
        <v>44239</v>
      </c>
      <c r="U14" s="4">
        <v>100</v>
      </c>
      <c r="V14" s="4">
        <v>99.48</v>
      </c>
      <c r="W14" s="3"/>
      <c r="X14" s="3"/>
      <c r="Y14" s="5">
        <v>44195</v>
      </c>
      <c r="Z14" s="5">
        <v>44376</v>
      </c>
      <c r="AA14" s="5">
        <v>44410</v>
      </c>
      <c r="AB14" s="6">
        <v>44410</v>
      </c>
      <c r="AC14" s="5">
        <v>44504</v>
      </c>
      <c r="AD14" s="5">
        <v>45577</v>
      </c>
      <c r="AE14" s="5">
        <v>45577</v>
      </c>
      <c r="AF14" s="5">
        <v>46157</v>
      </c>
      <c r="AG14" s="3" t="s">
        <v>148</v>
      </c>
      <c r="AH14" s="3" t="s">
        <v>149</v>
      </c>
      <c r="AI14" s="5">
        <v>46152</v>
      </c>
      <c r="AJ14" s="3"/>
      <c r="AK14" s="3"/>
      <c r="AL14" s="3"/>
      <c r="AM14" s="3" t="str">
        <f t="shared" si="0"/>
        <v/>
      </c>
      <c r="AN14" s="3" t="str">
        <f t="shared" si="1"/>
        <v/>
      </c>
      <c r="AO14" s="3">
        <f t="shared" si="2"/>
        <v>100</v>
      </c>
      <c r="AP14" s="3" t="str">
        <f t="shared" si="3"/>
        <v/>
      </c>
      <c r="AQ14" s="3">
        <v>1</v>
      </c>
      <c r="AR14" s="3"/>
      <c r="AS14" s="3">
        <f t="shared" si="4"/>
        <v>100</v>
      </c>
      <c r="AT14" s="4">
        <v>0</v>
      </c>
      <c r="AU14" s="3">
        <f t="shared" si="5"/>
        <v>90</v>
      </c>
      <c r="AV14" s="3" t="str">
        <f t="shared" si="6"/>
        <v/>
      </c>
      <c r="AW14" s="3" t="s">
        <v>150</v>
      </c>
    </row>
    <row r="15" spans="1:49" ht="70.05" customHeight="1" x14ac:dyDescent="0.3">
      <c r="A15" s="3" t="s">
        <v>151</v>
      </c>
      <c r="B15" s="3" t="s">
        <v>73</v>
      </c>
      <c r="C15" s="3" t="s">
        <v>152</v>
      </c>
      <c r="D15" s="3" t="s">
        <v>153</v>
      </c>
      <c r="E15" s="3" t="s">
        <v>67</v>
      </c>
      <c r="F15" s="3" t="s">
        <v>154</v>
      </c>
      <c r="G15" s="3" t="s">
        <v>85</v>
      </c>
      <c r="H15" s="3" t="s">
        <v>86</v>
      </c>
      <c r="I15" s="3" t="s">
        <v>69</v>
      </c>
      <c r="J15" s="3" t="s">
        <v>105</v>
      </c>
      <c r="K15" s="4">
        <v>9991937324.4500008</v>
      </c>
      <c r="L15" s="4">
        <v>0</v>
      </c>
      <c r="M15" s="4">
        <v>239336814</v>
      </c>
      <c r="N15" s="4">
        <v>0</v>
      </c>
      <c r="O15" s="4">
        <v>10231274138.450001</v>
      </c>
      <c r="P15" s="4">
        <v>9677239657.1900005</v>
      </c>
      <c r="Q15" s="5">
        <v>45595</v>
      </c>
      <c r="R15" s="5">
        <v>44321</v>
      </c>
      <c r="S15" s="5">
        <v>44187</v>
      </c>
      <c r="T15" s="5">
        <v>44337</v>
      </c>
      <c r="U15" s="4">
        <v>56.9</v>
      </c>
      <c r="V15" s="4">
        <v>94.98</v>
      </c>
      <c r="W15" s="3">
        <v>0</v>
      </c>
      <c r="X15" s="3">
        <v>0</v>
      </c>
      <c r="Y15" s="5">
        <v>44183</v>
      </c>
      <c r="Z15" s="5">
        <v>44363</v>
      </c>
      <c r="AA15" s="5">
        <v>44463</v>
      </c>
      <c r="AB15" s="6">
        <v>44463</v>
      </c>
      <c r="AC15" s="5">
        <v>44545</v>
      </c>
      <c r="AD15" s="5">
        <v>46022</v>
      </c>
      <c r="AE15" s="5"/>
      <c r="AF15" s="5">
        <v>46157</v>
      </c>
      <c r="AG15" s="3" t="s">
        <v>155</v>
      </c>
      <c r="AH15" s="3" t="s">
        <v>120</v>
      </c>
      <c r="AI15" s="5">
        <v>46157</v>
      </c>
      <c r="AJ15" s="3"/>
      <c r="AK15" s="3"/>
      <c r="AL15" s="3"/>
      <c r="AM15" s="3">
        <f t="shared" si="0"/>
        <v>0</v>
      </c>
      <c r="AN15" s="3">
        <f t="shared" si="1"/>
        <v>0</v>
      </c>
      <c r="AO15" s="3">
        <f t="shared" si="2"/>
        <v>0</v>
      </c>
      <c r="AP15" s="3">
        <f t="shared" si="3"/>
        <v>0</v>
      </c>
      <c r="AQ15" s="3">
        <v>1</v>
      </c>
      <c r="AR15" s="3"/>
      <c r="AS15" s="3">
        <f t="shared" si="4"/>
        <v>0</v>
      </c>
      <c r="AT15" s="4">
        <v>0</v>
      </c>
      <c r="AU15" s="3">
        <f t="shared" si="5"/>
        <v>90</v>
      </c>
      <c r="AV15" s="3">
        <f t="shared" si="6"/>
        <v>0</v>
      </c>
      <c r="AW15" s="3" t="s">
        <v>156</v>
      </c>
    </row>
    <row r="16" spans="1:49" ht="70.05" customHeight="1" x14ac:dyDescent="0.3">
      <c r="A16" s="3" t="s">
        <v>157</v>
      </c>
      <c r="B16" s="3" t="s">
        <v>73</v>
      </c>
      <c r="C16" s="3" t="s">
        <v>158</v>
      </c>
      <c r="D16" s="3" t="s">
        <v>159</v>
      </c>
      <c r="E16" s="3" t="s">
        <v>137</v>
      </c>
      <c r="F16" s="3" t="s">
        <v>160</v>
      </c>
      <c r="G16" s="3" t="s">
        <v>56</v>
      </c>
      <c r="H16" s="3" t="s">
        <v>57</v>
      </c>
      <c r="I16" s="3" t="s">
        <v>161</v>
      </c>
      <c r="J16" s="3" t="s">
        <v>96</v>
      </c>
      <c r="K16" s="4">
        <v>1582195518</v>
      </c>
      <c r="L16" s="4">
        <v>0</v>
      </c>
      <c r="M16" s="4">
        <v>0</v>
      </c>
      <c r="N16" s="4">
        <v>0</v>
      </c>
      <c r="O16" s="4">
        <v>1582195518</v>
      </c>
      <c r="P16" s="4">
        <v>1581551844.8</v>
      </c>
      <c r="Q16" s="5">
        <v>45358</v>
      </c>
      <c r="R16" s="5">
        <v>44737</v>
      </c>
      <c r="S16" s="5">
        <v>44729</v>
      </c>
      <c r="T16" s="5">
        <v>44774</v>
      </c>
      <c r="U16" s="4">
        <v>96.75</v>
      </c>
      <c r="V16" s="4">
        <v>99.96</v>
      </c>
      <c r="W16" s="3"/>
      <c r="X16" s="3"/>
      <c r="Y16" s="5">
        <v>44728</v>
      </c>
      <c r="Z16" s="5">
        <v>44854</v>
      </c>
      <c r="AA16" s="5">
        <v>44902</v>
      </c>
      <c r="AB16" s="6">
        <v>44902</v>
      </c>
      <c r="AC16" s="5">
        <v>44980</v>
      </c>
      <c r="AD16" s="5">
        <v>45287</v>
      </c>
      <c r="AE16" s="5">
        <v>45287</v>
      </c>
      <c r="AF16" s="5">
        <v>46157</v>
      </c>
      <c r="AG16" s="3" t="s">
        <v>162</v>
      </c>
      <c r="AH16" s="3" t="s">
        <v>120</v>
      </c>
      <c r="AI16" s="5">
        <v>46157</v>
      </c>
      <c r="AJ16" s="3"/>
      <c r="AK16" s="3"/>
      <c r="AL16" s="3"/>
      <c r="AM16" s="3" t="str">
        <f t="shared" si="0"/>
        <v/>
      </c>
      <c r="AN16" s="3" t="str">
        <f t="shared" si="1"/>
        <v/>
      </c>
      <c r="AO16" s="3">
        <f t="shared" si="2"/>
        <v>100</v>
      </c>
      <c r="AP16" s="3">
        <f t="shared" si="3"/>
        <v>100</v>
      </c>
      <c r="AQ16" s="3">
        <v>0</v>
      </c>
      <c r="AR16" s="3"/>
      <c r="AS16" s="3">
        <f t="shared" si="4"/>
        <v>0</v>
      </c>
      <c r="AT16" s="4">
        <v>0</v>
      </c>
      <c r="AU16" s="3">
        <f t="shared" si="5"/>
        <v>100</v>
      </c>
      <c r="AV16" s="3" t="str">
        <f t="shared" si="6"/>
        <v/>
      </c>
      <c r="AW16" s="3" t="s">
        <v>79</v>
      </c>
    </row>
    <row r="17" spans="1:49" ht="70.05" customHeight="1" x14ac:dyDescent="0.3">
      <c r="A17" s="3" t="s">
        <v>163</v>
      </c>
      <c r="B17" s="3" t="s">
        <v>90</v>
      </c>
      <c r="C17" s="3" t="s">
        <v>164</v>
      </c>
      <c r="D17" s="3" t="s">
        <v>165</v>
      </c>
      <c r="E17" s="3" t="s">
        <v>93</v>
      </c>
      <c r="F17" s="3" t="s">
        <v>166</v>
      </c>
      <c r="G17" s="3" t="s">
        <v>85</v>
      </c>
      <c r="H17" s="3" t="s">
        <v>57</v>
      </c>
      <c r="I17" s="3" t="s">
        <v>95</v>
      </c>
      <c r="J17" s="3" t="s">
        <v>167</v>
      </c>
      <c r="K17" s="4">
        <v>16839824924.799999</v>
      </c>
      <c r="L17" s="4">
        <v>0</v>
      </c>
      <c r="M17" s="4">
        <v>0</v>
      </c>
      <c r="N17" s="4">
        <v>0</v>
      </c>
      <c r="O17" s="4">
        <v>16839824924.799999</v>
      </c>
      <c r="P17" s="4">
        <v>15214817530.110001</v>
      </c>
      <c r="Q17" s="5">
        <v>46020</v>
      </c>
      <c r="R17" s="5">
        <v>45084</v>
      </c>
      <c r="S17" s="5">
        <v>45066</v>
      </c>
      <c r="T17" s="5">
        <v>45100</v>
      </c>
      <c r="U17" s="4">
        <v>99.8</v>
      </c>
      <c r="V17" s="4">
        <v>90.35</v>
      </c>
      <c r="W17" s="3">
        <v>1</v>
      </c>
      <c r="X17" s="3">
        <v>1</v>
      </c>
      <c r="Y17" s="5">
        <v>45064</v>
      </c>
      <c r="Z17" s="5">
        <v>45212</v>
      </c>
      <c r="AA17" s="5">
        <v>45450</v>
      </c>
      <c r="AB17" s="6">
        <v>45450</v>
      </c>
      <c r="AC17" s="5">
        <v>45469</v>
      </c>
      <c r="AD17" s="5">
        <v>46137</v>
      </c>
      <c r="AE17" s="5"/>
      <c r="AF17" s="5">
        <v>46157</v>
      </c>
      <c r="AG17" s="3" t="s">
        <v>168</v>
      </c>
      <c r="AH17" s="3" t="s">
        <v>169</v>
      </c>
      <c r="AI17" s="5">
        <v>46152</v>
      </c>
      <c r="AJ17" s="3"/>
      <c r="AK17" s="3"/>
      <c r="AL17" s="3"/>
      <c r="AM17" s="3">
        <f t="shared" si="0"/>
        <v>100</v>
      </c>
      <c r="AN17" s="3">
        <f t="shared" si="1"/>
        <v>100</v>
      </c>
      <c r="AO17" s="3">
        <f t="shared" si="2"/>
        <v>100</v>
      </c>
      <c r="AP17" s="3">
        <f t="shared" si="3"/>
        <v>100</v>
      </c>
      <c r="AQ17" s="3">
        <v>2</v>
      </c>
      <c r="AR17" s="3"/>
      <c r="AS17" s="3">
        <f t="shared" si="4"/>
        <v>100</v>
      </c>
      <c r="AT17" s="4">
        <v>100</v>
      </c>
      <c r="AU17" s="3">
        <f t="shared" si="5"/>
        <v>75</v>
      </c>
      <c r="AV17" s="3">
        <f t="shared" si="6"/>
        <v>75</v>
      </c>
      <c r="AW17" s="3" t="s">
        <v>170</v>
      </c>
    </row>
    <row r="18" spans="1:49" ht="70.05" customHeight="1" x14ac:dyDescent="0.3">
      <c r="A18" s="3" t="s">
        <v>171</v>
      </c>
      <c r="B18" s="3" t="s">
        <v>73</v>
      </c>
      <c r="C18" s="3" t="s">
        <v>172</v>
      </c>
      <c r="D18" s="3" t="s">
        <v>173</v>
      </c>
      <c r="E18" s="3" t="s">
        <v>67</v>
      </c>
      <c r="F18" s="3" t="s">
        <v>174</v>
      </c>
      <c r="G18" s="3" t="s">
        <v>85</v>
      </c>
      <c r="H18" s="3" t="s">
        <v>86</v>
      </c>
      <c r="I18" s="3" t="s">
        <v>69</v>
      </c>
      <c r="J18" s="3" t="s">
        <v>175</v>
      </c>
      <c r="K18" s="4">
        <v>3342400000</v>
      </c>
      <c r="L18" s="4">
        <v>0</v>
      </c>
      <c r="M18" s="4">
        <v>30000000</v>
      </c>
      <c r="N18" s="4">
        <v>0</v>
      </c>
      <c r="O18" s="4">
        <v>3372400000</v>
      </c>
      <c r="P18" s="4">
        <v>3286321003.9000001</v>
      </c>
      <c r="Q18" s="5">
        <v>45777</v>
      </c>
      <c r="R18" s="5">
        <v>44569</v>
      </c>
      <c r="S18" s="5">
        <v>44556</v>
      </c>
      <c r="T18" s="5">
        <v>44629</v>
      </c>
      <c r="U18" s="4">
        <v>100</v>
      </c>
      <c r="V18" s="4">
        <v>98.34</v>
      </c>
      <c r="W18" s="3">
        <v>0</v>
      </c>
      <c r="X18" s="3">
        <v>0</v>
      </c>
      <c r="Y18" s="5">
        <v>44552</v>
      </c>
      <c r="Z18" s="5">
        <v>44825</v>
      </c>
      <c r="AA18" s="5">
        <v>44833</v>
      </c>
      <c r="AB18" s="6">
        <v>44833</v>
      </c>
      <c r="AC18" s="5">
        <v>44925</v>
      </c>
      <c r="AD18" s="5">
        <v>45549</v>
      </c>
      <c r="AE18" s="5"/>
      <c r="AF18" s="5">
        <v>46157</v>
      </c>
      <c r="AG18" s="3" t="s">
        <v>176</v>
      </c>
      <c r="AH18" s="3" t="s">
        <v>120</v>
      </c>
      <c r="AI18" s="5">
        <v>46157</v>
      </c>
      <c r="AJ18" s="3"/>
      <c r="AK18" s="3"/>
      <c r="AL18" s="3"/>
      <c r="AM18" s="3">
        <f t="shared" si="0"/>
        <v>0</v>
      </c>
      <c r="AN18" s="3">
        <f t="shared" si="1"/>
        <v>0</v>
      </c>
      <c r="AO18" s="3">
        <f t="shared" si="2"/>
        <v>100</v>
      </c>
      <c r="AP18" s="3">
        <f t="shared" si="3"/>
        <v>100</v>
      </c>
      <c r="AQ18" s="3">
        <v>1</v>
      </c>
      <c r="AR18" s="3"/>
      <c r="AS18" s="3">
        <f t="shared" si="4"/>
        <v>0</v>
      </c>
      <c r="AT18" s="4">
        <v>0</v>
      </c>
      <c r="AU18" s="3">
        <f t="shared" si="5"/>
        <v>90</v>
      </c>
      <c r="AV18" s="3">
        <f t="shared" si="6"/>
        <v>36</v>
      </c>
      <c r="AW18" s="3" t="s">
        <v>177</v>
      </c>
    </row>
    <row r="19" spans="1:49" ht="70.05" customHeight="1" x14ac:dyDescent="0.3">
      <c r="A19" s="3" t="s">
        <v>178</v>
      </c>
      <c r="B19" s="3" t="s">
        <v>73</v>
      </c>
      <c r="C19" s="3" t="s">
        <v>179</v>
      </c>
      <c r="D19" s="3" t="s">
        <v>180</v>
      </c>
      <c r="E19" s="3" t="s">
        <v>67</v>
      </c>
      <c r="F19" s="3" t="s">
        <v>174</v>
      </c>
      <c r="G19" s="3" t="s">
        <v>85</v>
      </c>
      <c r="H19" s="3" t="s">
        <v>86</v>
      </c>
      <c r="I19" s="3" t="s">
        <v>69</v>
      </c>
      <c r="J19" s="3" t="s">
        <v>175</v>
      </c>
      <c r="K19" s="4">
        <v>990000000</v>
      </c>
      <c r="L19" s="4">
        <v>0</v>
      </c>
      <c r="M19" s="4">
        <v>30000000</v>
      </c>
      <c r="N19" s="4">
        <v>0</v>
      </c>
      <c r="O19" s="4">
        <v>1020000000</v>
      </c>
      <c r="P19" s="4">
        <v>910522475.99000001</v>
      </c>
      <c r="Q19" s="5">
        <v>45653</v>
      </c>
      <c r="R19" s="5">
        <v>44569</v>
      </c>
      <c r="S19" s="5">
        <v>44556</v>
      </c>
      <c r="T19" s="5">
        <v>44629</v>
      </c>
      <c r="U19" s="4">
        <v>100</v>
      </c>
      <c r="V19" s="4">
        <v>92.21</v>
      </c>
      <c r="W19" s="3">
        <v>0</v>
      </c>
      <c r="X19" s="3">
        <v>0</v>
      </c>
      <c r="Y19" s="5">
        <v>44552</v>
      </c>
      <c r="Z19" s="5">
        <v>44775</v>
      </c>
      <c r="AA19" s="5">
        <v>44833</v>
      </c>
      <c r="AB19" s="6">
        <v>44833</v>
      </c>
      <c r="AC19" s="5">
        <v>44925</v>
      </c>
      <c r="AD19" s="5">
        <v>45549</v>
      </c>
      <c r="AE19" s="5"/>
      <c r="AF19" s="5">
        <v>46157</v>
      </c>
      <c r="AG19" s="3" t="s">
        <v>181</v>
      </c>
      <c r="AH19" s="3" t="s">
        <v>120</v>
      </c>
      <c r="AI19" s="5">
        <v>46157</v>
      </c>
      <c r="AJ19" s="3"/>
      <c r="AK19" s="3"/>
      <c r="AL19" s="3"/>
      <c r="AM19" s="3">
        <f t="shared" si="0"/>
        <v>0</v>
      </c>
      <c r="AN19" s="3">
        <f t="shared" si="1"/>
        <v>0</v>
      </c>
      <c r="AO19" s="3">
        <f t="shared" si="2"/>
        <v>100</v>
      </c>
      <c r="AP19" s="3">
        <f t="shared" si="3"/>
        <v>100</v>
      </c>
      <c r="AQ19" s="3">
        <v>1</v>
      </c>
      <c r="AR19" s="3"/>
      <c r="AS19" s="3">
        <f t="shared" si="4"/>
        <v>0</v>
      </c>
      <c r="AT19" s="4">
        <v>0</v>
      </c>
      <c r="AU19" s="3">
        <f t="shared" si="5"/>
        <v>90</v>
      </c>
      <c r="AV19" s="3">
        <f t="shared" si="6"/>
        <v>36</v>
      </c>
      <c r="AW19" s="3" t="s">
        <v>182</v>
      </c>
    </row>
    <row r="20" spans="1:49" ht="70.05" customHeight="1" x14ac:dyDescent="0.3">
      <c r="A20" s="3" t="s">
        <v>183</v>
      </c>
      <c r="B20" s="3" t="s">
        <v>73</v>
      </c>
      <c r="C20" s="3" t="s">
        <v>184</v>
      </c>
      <c r="D20" s="3" t="s">
        <v>185</v>
      </c>
      <c r="E20" s="3" t="s">
        <v>67</v>
      </c>
      <c r="F20" s="3" t="s">
        <v>186</v>
      </c>
      <c r="G20" s="3" t="s">
        <v>56</v>
      </c>
      <c r="H20" s="3" t="s">
        <v>57</v>
      </c>
      <c r="I20" s="3" t="s">
        <v>69</v>
      </c>
      <c r="J20" s="3" t="s">
        <v>175</v>
      </c>
      <c r="K20" s="4">
        <v>1000000000</v>
      </c>
      <c r="L20" s="4">
        <v>0</v>
      </c>
      <c r="M20" s="4">
        <v>30200000</v>
      </c>
      <c r="N20" s="4">
        <v>0</v>
      </c>
      <c r="O20" s="4">
        <v>1030200000</v>
      </c>
      <c r="P20" s="4">
        <v>1082566960</v>
      </c>
      <c r="Q20" s="5">
        <v>45797</v>
      </c>
      <c r="R20" s="5">
        <v>44569</v>
      </c>
      <c r="S20" s="5">
        <v>44556</v>
      </c>
      <c r="T20" s="5">
        <v>44657</v>
      </c>
      <c r="U20" s="4">
        <v>100</v>
      </c>
      <c r="V20" s="4">
        <v>108.01</v>
      </c>
      <c r="W20" s="3"/>
      <c r="X20" s="3"/>
      <c r="Y20" s="5">
        <v>44552</v>
      </c>
      <c r="Z20" s="5">
        <v>44819</v>
      </c>
      <c r="AA20" s="5">
        <v>44833</v>
      </c>
      <c r="AB20" s="6">
        <v>44833</v>
      </c>
      <c r="AC20" s="5">
        <v>44925</v>
      </c>
      <c r="AD20" s="5">
        <v>45549</v>
      </c>
      <c r="AE20" s="5">
        <v>45549</v>
      </c>
      <c r="AF20" s="5">
        <v>46157</v>
      </c>
      <c r="AG20" s="3" t="s">
        <v>187</v>
      </c>
      <c r="AH20" s="3" t="s">
        <v>120</v>
      </c>
      <c r="AI20" s="5">
        <v>46157</v>
      </c>
      <c r="AJ20" s="3"/>
      <c r="AK20" s="3"/>
      <c r="AL20" s="3"/>
      <c r="AM20" s="3" t="str">
        <f t="shared" si="0"/>
        <v/>
      </c>
      <c r="AN20" s="3" t="str">
        <f t="shared" si="1"/>
        <v/>
      </c>
      <c r="AO20" s="3" t="str">
        <f t="shared" si="2"/>
        <v/>
      </c>
      <c r="AP20" s="3" t="str">
        <f t="shared" si="3"/>
        <v/>
      </c>
      <c r="AQ20" s="3">
        <v>1</v>
      </c>
      <c r="AR20" s="3"/>
      <c r="AS20" s="3">
        <f t="shared" si="4"/>
        <v>0</v>
      </c>
      <c r="AT20" s="4">
        <v>0</v>
      </c>
      <c r="AU20" s="3">
        <f t="shared" si="5"/>
        <v>90</v>
      </c>
      <c r="AV20" s="3" t="str">
        <f t="shared" si="6"/>
        <v/>
      </c>
      <c r="AW20" s="3" t="s">
        <v>79</v>
      </c>
    </row>
    <row r="21" spans="1:49" ht="70.05" customHeight="1" x14ac:dyDescent="0.3">
      <c r="A21" s="3" t="s">
        <v>188</v>
      </c>
      <c r="B21" s="3" t="s">
        <v>73</v>
      </c>
      <c r="C21" s="3" t="s">
        <v>189</v>
      </c>
      <c r="D21" s="3" t="s">
        <v>190</v>
      </c>
      <c r="E21" s="3" t="s">
        <v>67</v>
      </c>
      <c r="F21" s="3" t="s">
        <v>191</v>
      </c>
      <c r="G21" s="3" t="s">
        <v>85</v>
      </c>
      <c r="H21" s="3" t="s">
        <v>86</v>
      </c>
      <c r="I21" s="3" t="s">
        <v>69</v>
      </c>
      <c r="J21" s="3" t="s">
        <v>192</v>
      </c>
      <c r="K21" s="4">
        <v>4300000000</v>
      </c>
      <c r="L21" s="4">
        <v>0</v>
      </c>
      <c r="M21" s="4">
        <v>48000000</v>
      </c>
      <c r="N21" s="4">
        <v>0</v>
      </c>
      <c r="O21" s="4">
        <v>4348000000</v>
      </c>
      <c r="P21" s="4">
        <v>3523293028</v>
      </c>
      <c r="Q21" s="5">
        <v>45989</v>
      </c>
      <c r="R21" s="5">
        <v>44758</v>
      </c>
      <c r="S21" s="5">
        <v>44687</v>
      </c>
      <c r="T21" s="5">
        <v>44825</v>
      </c>
      <c r="U21" s="4">
        <v>68.13</v>
      </c>
      <c r="V21" s="4">
        <v>82.09</v>
      </c>
      <c r="W21" s="3">
        <v>0</v>
      </c>
      <c r="X21" s="3">
        <v>0</v>
      </c>
      <c r="Y21" s="5">
        <v>44685</v>
      </c>
      <c r="Z21" s="5">
        <v>44867</v>
      </c>
      <c r="AA21" s="5">
        <v>44917</v>
      </c>
      <c r="AB21" s="6">
        <v>44917</v>
      </c>
      <c r="AC21" s="5">
        <v>44998</v>
      </c>
      <c r="AD21" s="5">
        <v>45912</v>
      </c>
      <c r="AE21" s="5"/>
      <c r="AF21" s="5">
        <v>46157</v>
      </c>
      <c r="AG21" s="3" t="s">
        <v>193</v>
      </c>
      <c r="AH21" s="3" t="s">
        <v>194</v>
      </c>
      <c r="AI21" s="5">
        <v>46152</v>
      </c>
      <c r="AJ21" s="3"/>
      <c r="AK21" s="3"/>
      <c r="AL21" s="3"/>
      <c r="AM21" s="3">
        <f t="shared" si="0"/>
        <v>0</v>
      </c>
      <c r="AN21" s="3">
        <f t="shared" si="1"/>
        <v>0</v>
      </c>
      <c r="AO21" s="3">
        <f t="shared" si="2"/>
        <v>100</v>
      </c>
      <c r="AP21" s="3">
        <f t="shared" si="3"/>
        <v>100</v>
      </c>
      <c r="AQ21" s="3">
        <v>1</v>
      </c>
      <c r="AR21" s="3"/>
      <c r="AS21" s="3">
        <f t="shared" si="4"/>
        <v>100</v>
      </c>
      <c r="AT21" s="4">
        <v>10</v>
      </c>
      <c r="AU21" s="3">
        <f t="shared" si="5"/>
        <v>90</v>
      </c>
      <c r="AV21" s="3">
        <f t="shared" si="6"/>
        <v>36</v>
      </c>
      <c r="AW21" s="3" t="s">
        <v>195</v>
      </c>
    </row>
    <row r="22" spans="1:49" ht="70.05" customHeight="1" x14ac:dyDescent="0.3">
      <c r="A22" s="3" t="s">
        <v>196</v>
      </c>
      <c r="B22" s="3" t="s">
        <v>90</v>
      </c>
      <c r="C22" s="3" t="s">
        <v>197</v>
      </c>
      <c r="D22" s="3" t="s">
        <v>198</v>
      </c>
      <c r="E22" s="3" t="s">
        <v>199</v>
      </c>
      <c r="F22" s="3" t="s">
        <v>200</v>
      </c>
      <c r="G22" s="3" t="s">
        <v>85</v>
      </c>
      <c r="H22" s="3" t="s">
        <v>86</v>
      </c>
      <c r="I22" s="3" t="s">
        <v>95</v>
      </c>
      <c r="J22" s="3" t="s">
        <v>167</v>
      </c>
      <c r="K22" s="4">
        <v>24245749081.080002</v>
      </c>
      <c r="L22" s="4">
        <v>0</v>
      </c>
      <c r="M22" s="4">
        <v>0</v>
      </c>
      <c r="N22" s="4">
        <v>0</v>
      </c>
      <c r="O22" s="4">
        <v>24245749081.080002</v>
      </c>
      <c r="P22" s="4">
        <v>17987770186.490002</v>
      </c>
      <c r="Q22" s="5">
        <v>46057</v>
      </c>
      <c r="R22" s="5">
        <v>45084</v>
      </c>
      <c r="S22" s="5">
        <v>45066</v>
      </c>
      <c r="T22" s="5">
        <v>45105</v>
      </c>
      <c r="U22" s="4">
        <v>70.2</v>
      </c>
      <c r="V22" s="4">
        <v>74.19</v>
      </c>
      <c r="W22" s="3">
        <v>1</v>
      </c>
      <c r="X22" s="3">
        <v>0.93</v>
      </c>
      <c r="Y22" s="5">
        <v>45064</v>
      </c>
      <c r="Z22" s="5">
        <v>45546</v>
      </c>
      <c r="AA22" s="5">
        <v>45709</v>
      </c>
      <c r="AB22" s="6">
        <v>45709</v>
      </c>
      <c r="AC22" s="5">
        <v>45714</v>
      </c>
      <c r="AD22" s="5">
        <v>46214</v>
      </c>
      <c r="AE22" s="5"/>
      <c r="AF22" s="5">
        <v>46157</v>
      </c>
      <c r="AG22" s="3" t="s">
        <v>201</v>
      </c>
      <c r="AH22" s="3" t="s">
        <v>202</v>
      </c>
      <c r="AI22" s="5">
        <v>46152</v>
      </c>
      <c r="AJ22" s="3"/>
      <c r="AK22" s="3"/>
      <c r="AL22" s="3"/>
      <c r="AM22" s="3">
        <f t="shared" si="0"/>
        <v>100</v>
      </c>
      <c r="AN22" s="3">
        <f t="shared" si="1"/>
        <v>100</v>
      </c>
      <c r="AO22" s="3">
        <f t="shared" si="2"/>
        <v>100</v>
      </c>
      <c r="AP22" s="3">
        <f t="shared" si="3"/>
        <v>100</v>
      </c>
      <c r="AQ22" s="3">
        <v>1</v>
      </c>
      <c r="AR22" s="3"/>
      <c r="AS22" s="3">
        <f t="shared" si="4"/>
        <v>100</v>
      </c>
      <c r="AT22" s="4">
        <v>90</v>
      </c>
      <c r="AU22" s="3">
        <f t="shared" si="5"/>
        <v>90</v>
      </c>
      <c r="AV22" s="3">
        <f t="shared" si="6"/>
        <v>90</v>
      </c>
      <c r="AW22" s="3" t="s">
        <v>203</v>
      </c>
    </row>
    <row r="23" spans="1:49" ht="70.05" customHeight="1" x14ac:dyDescent="0.3">
      <c r="A23" s="3" t="s">
        <v>204</v>
      </c>
      <c r="B23" s="3" t="s">
        <v>90</v>
      </c>
      <c r="C23" s="3" t="s">
        <v>205</v>
      </c>
      <c r="D23" s="3" t="s">
        <v>206</v>
      </c>
      <c r="E23" s="3" t="s">
        <v>93</v>
      </c>
      <c r="F23" s="3" t="s">
        <v>207</v>
      </c>
      <c r="G23" s="3" t="s">
        <v>208</v>
      </c>
      <c r="H23" s="3" t="s">
        <v>104</v>
      </c>
      <c r="I23" s="3" t="s">
        <v>95</v>
      </c>
      <c r="J23" s="3" t="s">
        <v>96</v>
      </c>
      <c r="K23" s="4">
        <v>1498986578.77</v>
      </c>
      <c r="L23" s="4">
        <v>0</v>
      </c>
      <c r="M23" s="4">
        <v>0</v>
      </c>
      <c r="N23" s="4">
        <v>0</v>
      </c>
      <c r="O23" s="4">
        <v>1498986578.77</v>
      </c>
      <c r="P23" s="4">
        <v>1471824308.05</v>
      </c>
      <c r="Q23" s="5">
        <v>45750</v>
      </c>
      <c r="R23" s="5">
        <v>44510</v>
      </c>
      <c r="S23" s="5">
        <v>44509</v>
      </c>
      <c r="T23" s="5">
        <v>44510</v>
      </c>
      <c r="U23" s="4">
        <v>98.19</v>
      </c>
      <c r="V23" s="4">
        <v>98.19</v>
      </c>
      <c r="W23" s="3"/>
      <c r="X23" s="3"/>
      <c r="Y23" s="5">
        <v>44508</v>
      </c>
      <c r="Z23" s="5">
        <v>44581</v>
      </c>
      <c r="AA23" s="5">
        <v>44817</v>
      </c>
      <c r="AB23" s="6">
        <v>44817</v>
      </c>
      <c r="AC23" s="5">
        <v>44869</v>
      </c>
      <c r="AD23" s="5">
        <v>45407</v>
      </c>
      <c r="AE23" s="5">
        <v>45407</v>
      </c>
      <c r="AF23" s="5">
        <v>46157</v>
      </c>
      <c r="AG23" s="3"/>
      <c r="AH23" s="3"/>
      <c r="AI23" s="5">
        <v>46152</v>
      </c>
      <c r="AJ23" s="3"/>
      <c r="AK23" s="3"/>
      <c r="AL23" s="3"/>
      <c r="AM23" s="3" t="str">
        <f t="shared" si="0"/>
        <v/>
      </c>
      <c r="AN23" s="3" t="str">
        <f t="shared" si="1"/>
        <v/>
      </c>
      <c r="AO23" s="3">
        <f t="shared" si="2"/>
        <v>100</v>
      </c>
      <c r="AP23" s="3" t="str">
        <f t="shared" si="3"/>
        <v/>
      </c>
      <c r="AQ23" s="3">
        <v>1</v>
      </c>
      <c r="AR23" s="3"/>
      <c r="AS23" s="3">
        <f t="shared" si="4"/>
        <v>100</v>
      </c>
      <c r="AT23" s="4"/>
      <c r="AU23" s="3">
        <f t="shared" si="5"/>
        <v>90</v>
      </c>
      <c r="AV23" s="3" t="str">
        <f t="shared" si="6"/>
        <v/>
      </c>
      <c r="AW23" s="3" t="s">
        <v>209</v>
      </c>
    </row>
    <row r="24" spans="1:49" ht="70.05" customHeight="1" x14ac:dyDescent="0.3">
      <c r="A24" s="3" t="s">
        <v>210</v>
      </c>
      <c r="B24" s="3" t="s">
        <v>51</v>
      </c>
      <c r="C24" s="3" t="s">
        <v>211</v>
      </c>
      <c r="D24" s="3" t="s">
        <v>212</v>
      </c>
      <c r="E24" s="3" t="s">
        <v>213</v>
      </c>
      <c r="F24" s="3" t="s">
        <v>214</v>
      </c>
      <c r="G24" s="3" t="s">
        <v>56</v>
      </c>
      <c r="H24" s="3" t="s">
        <v>104</v>
      </c>
      <c r="I24" s="3" t="s">
        <v>215</v>
      </c>
      <c r="J24" s="3" t="s">
        <v>216</v>
      </c>
      <c r="K24" s="4">
        <v>621744000</v>
      </c>
      <c r="L24" s="4">
        <v>550511999.39999998</v>
      </c>
      <c r="M24" s="4">
        <v>0</v>
      </c>
      <c r="N24" s="4">
        <v>0</v>
      </c>
      <c r="O24" s="4">
        <v>1172255999.4000001</v>
      </c>
      <c r="P24" s="4">
        <v>621744000</v>
      </c>
      <c r="Q24" s="5">
        <v>44495</v>
      </c>
      <c r="R24" s="5">
        <v>44391</v>
      </c>
      <c r="S24" s="5">
        <v>44390</v>
      </c>
      <c r="T24" s="5">
        <v>44383</v>
      </c>
      <c r="U24" s="4">
        <v>100</v>
      </c>
      <c r="V24" s="4">
        <v>91.71</v>
      </c>
      <c r="W24" s="3"/>
      <c r="X24" s="3"/>
      <c r="Y24" s="5">
        <v>44389</v>
      </c>
      <c r="Z24" s="5">
        <v>44399</v>
      </c>
      <c r="AA24" s="5">
        <v>44475</v>
      </c>
      <c r="AB24" s="6">
        <v>44475</v>
      </c>
      <c r="AC24" s="5">
        <v>44495</v>
      </c>
      <c r="AD24" s="5">
        <v>44651</v>
      </c>
      <c r="AE24" s="5">
        <v>44651</v>
      </c>
      <c r="AF24" s="5">
        <v>46157</v>
      </c>
      <c r="AG24" s="3"/>
      <c r="AH24" s="3"/>
      <c r="AI24" s="5">
        <v>46152</v>
      </c>
      <c r="AJ24" s="3"/>
      <c r="AK24" s="3"/>
      <c r="AL24" s="3"/>
      <c r="AM24" s="3" t="str">
        <f t="shared" si="0"/>
        <v/>
      </c>
      <c r="AN24" s="3" t="str">
        <f t="shared" si="1"/>
        <v/>
      </c>
      <c r="AO24" s="3">
        <f t="shared" si="2"/>
        <v>100</v>
      </c>
      <c r="AP24" s="3" t="str">
        <f t="shared" si="3"/>
        <v/>
      </c>
      <c r="AQ24" s="3">
        <v>0</v>
      </c>
      <c r="AR24" s="3"/>
      <c r="AS24" s="3">
        <f t="shared" si="4"/>
        <v>100</v>
      </c>
      <c r="AT24" s="4"/>
      <c r="AU24" s="3">
        <f t="shared" si="5"/>
        <v>100</v>
      </c>
      <c r="AV24" s="3" t="str">
        <f t="shared" si="6"/>
        <v/>
      </c>
      <c r="AW24" s="3" t="s">
        <v>217</v>
      </c>
    </row>
    <row r="25" spans="1:49" ht="70.05" customHeight="1" x14ac:dyDescent="0.3">
      <c r="A25" s="3" t="s">
        <v>218</v>
      </c>
      <c r="B25" s="3" t="s">
        <v>73</v>
      </c>
      <c r="C25" s="3" t="s">
        <v>219</v>
      </c>
      <c r="D25" s="3" t="s">
        <v>220</v>
      </c>
      <c r="E25" s="3" t="s">
        <v>221</v>
      </c>
      <c r="F25" s="3" t="s">
        <v>222</v>
      </c>
      <c r="G25" s="3" t="s">
        <v>208</v>
      </c>
      <c r="H25" s="3" t="s">
        <v>104</v>
      </c>
      <c r="I25" s="3" t="s">
        <v>161</v>
      </c>
      <c r="J25" s="3" t="s">
        <v>96</v>
      </c>
      <c r="K25" s="4">
        <v>899027939.82000005</v>
      </c>
      <c r="L25" s="4">
        <v>0</v>
      </c>
      <c r="M25" s="4">
        <v>0</v>
      </c>
      <c r="N25" s="4">
        <v>0</v>
      </c>
      <c r="O25" s="4">
        <v>899027939.82000005</v>
      </c>
      <c r="P25" s="4">
        <v>895167939.80999994</v>
      </c>
      <c r="Q25" s="5">
        <v>45188</v>
      </c>
      <c r="R25" s="5">
        <v>44456</v>
      </c>
      <c r="S25" s="5">
        <v>44457</v>
      </c>
      <c r="T25" s="5">
        <v>44481</v>
      </c>
      <c r="U25" s="4">
        <v>99.57</v>
      </c>
      <c r="V25" s="4">
        <v>99.57</v>
      </c>
      <c r="W25" s="3"/>
      <c r="X25" s="3"/>
      <c r="Y25" s="5">
        <v>44456</v>
      </c>
      <c r="Z25" s="5">
        <v>44617</v>
      </c>
      <c r="AA25" s="5">
        <v>44687</v>
      </c>
      <c r="AB25" s="6">
        <v>44687</v>
      </c>
      <c r="AC25" s="5">
        <v>44698</v>
      </c>
      <c r="AD25" s="5">
        <v>45046</v>
      </c>
      <c r="AE25" s="5">
        <v>45046</v>
      </c>
      <c r="AF25" s="5">
        <v>46157</v>
      </c>
      <c r="AG25" s="3"/>
      <c r="AH25" s="3"/>
      <c r="AI25" s="5"/>
      <c r="AJ25" s="3"/>
      <c r="AK25" s="3"/>
      <c r="AL25" s="3"/>
      <c r="AM25" s="3" t="str">
        <f t="shared" si="0"/>
        <v/>
      </c>
      <c r="AN25" s="3" t="str">
        <f t="shared" si="1"/>
        <v/>
      </c>
      <c r="AO25" s="3">
        <f t="shared" si="2"/>
        <v>100</v>
      </c>
      <c r="AP25" s="3" t="str">
        <f t="shared" si="3"/>
        <v/>
      </c>
      <c r="AQ25" s="3">
        <v>0</v>
      </c>
      <c r="AR25" s="3"/>
      <c r="AS25" s="3" t="str">
        <f t="shared" si="4"/>
        <v/>
      </c>
      <c r="AT25" s="4"/>
      <c r="AU25" s="3">
        <f t="shared" si="5"/>
        <v>100</v>
      </c>
      <c r="AV25" s="3" t="str">
        <f t="shared" si="6"/>
        <v/>
      </c>
      <c r="AW25" s="3" t="s">
        <v>209</v>
      </c>
    </row>
    <row r="26" spans="1:49" ht="70.05" customHeight="1" x14ac:dyDescent="0.3">
      <c r="A26" s="3" t="s">
        <v>223</v>
      </c>
      <c r="B26" s="3" t="s">
        <v>90</v>
      </c>
      <c r="C26" s="3" t="s">
        <v>224</v>
      </c>
      <c r="D26" s="3" t="s">
        <v>225</v>
      </c>
      <c r="E26" s="3" t="s">
        <v>221</v>
      </c>
      <c r="F26" s="3" t="s">
        <v>226</v>
      </c>
      <c r="G26" s="3" t="s">
        <v>85</v>
      </c>
      <c r="H26" s="3" t="s">
        <v>227</v>
      </c>
      <c r="I26" s="3" t="s">
        <v>95</v>
      </c>
      <c r="J26" s="3" t="s">
        <v>96</v>
      </c>
      <c r="K26" s="4">
        <v>8561481683</v>
      </c>
      <c r="L26" s="4">
        <v>7999399317</v>
      </c>
      <c r="M26" s="4">
        <v>0</v>
      </c>
      <c r="N26" s="4">
        <v>0</v>
      </c>
      <c r="O26" s="4">
        <v>16560881000</v>
      </c>
      <c r="P26" s="4">
        <v>7774977527.5600004</v>
      </c>
      <c r="Q26" s="5">
        <v>45847</v>
      </c>
      <c r="R26" s="5">
        <v>45104</v>
      </c>
      <c r="S26" s="5">
        <v>45100</v>
      </c>
      <c r="T26" s="5">
        <v>45100</v>
      </c>
      <c r="U26" s="4">
        <v>74.239999999999995</v>
      </c>
      <c r="V26" s="4">
        <v>46.95</v>
      </c>
      <c r="W26" s="3">
        <v>0</v>
      </c>
      <c r="X26" s="3">
        <v>0</v>
      </c>
      <c r="Y26" s="5">
        <v>45100</v>
      </c>
      <c r="Z26" s="5">
        <v>45252</v>
      </c>
      <c r="AA26" s="5">
        <v>45433</v>
      </c>
      <c r="AB26" s="6">
        <v>45433</v>
      </c>
      <c r="AC26" s="5">
        <v>45509</v>
      </c>
      <c r="AD26" s="5">
        <v>46204</v>
      </c>
      <c r="AE26" s="5"/>
      <c r="AF26" s="5">
        <v>46157</v>
      </c>
      <c r="AG26" s="3" t="s">
        <v>228</v>
      </c>
      <c r="AH26" s="3" t="s">
        <v>229</v>
      </c>
      <c r="AI26" s="5">
        <v>46152</v>
      </c>
      <c r="AJ26" s="3"/>
      <c r="AK26" s="3"/>
      <c r="AL26" s="3"/>
      <c r="AM26" s="3">
        <f t="shared" si="0"/>
        <v>0</v>
      </c>
      <c r="AN26" s="3">
        <f t="shared" si="1"/>
        <v>0</v>
      </c>
      <c r="AO26" s="3">
        <f t="shared" si="2"/>
        <v>100</v>
      </c>
      <c r="AP26" s="3">
        <f t="shared" si="3"/>
        <v>100</v>
      </c>
      <c r="AQ26" s="3">
        <v>2</v>
      </c>
      <c r="AR26" s="3"/>
      <c r="AS26" s="3">
        <f t="shared" si="4"/>
        <v>100</v>
      </c>
      <c r="AT26" s="4">
        <v>100</v>
      </c>
      <c r="AU26" s="3">
        <f t="shared" si="5"/>
        <v>75</v>
      </c>
      <c r="AV26" s="3">
        <f t="shared" si="6"/>
        <v>30</v>
      </c>
      <c r="AW26" s="3" t="s">
        <v>230</v>
      </c>
    </row>
    <row r="27" spans="1:49" ht="70.05" customHeight="1" x14ac:dyDescent="0.3">
      <c r="A27" s="3" t="s">
        <v>231</v>
      </c>
      <c r="B27" s="3" t="s">
        <v>73</v>
      </c>
      <c r="C27" s="3" t="s">
        <v>232</v>
      </c>
      <c r="D27" s="3" t="s">
        <v>233</v>
      </c>
      <c r="E27" s="3" t="s">
        <v>234</v>
      </c>
      <c r="F27" s="3" t="s">
        <v>235</v>
      </c>
      <c r="G27" s="3" t="s">
        <v>56</v>
      </c>
      <c r="H27" s="3" t="s">
        <v>57</v>
      </c>
      <c r="I27" s="3" t="s">
        <v>139</v>
      </c>
      <c r="J27" s="3" t="s">
        <v>167</v>
      </c>
      <c r="K27" s="4">
        <v>13470040052.48</v>
      </c>
      <c r="L27" s="4">
        <v>0</v>
      </c>
      <c r="M27" s="4">
        <v>0</v>
      </c>
      <c r="N27" s="4">
        <v>0</v>
      </c>
      <c r="O27" s="4">
        <v>13470040052.48</v>
      </c>
      <c r="P27" s="4">
        <v>13464961639.190001</v>
      </c>
      <c r="Q27" s="5">
        <v>45573</v>
      </c>
      <c r="R27" s="5">
        <v>44856</v>
      </c>
      <c r="S27" s="5">
        <v>44845</v>
      </c>
      <c r="T27" s="5">
        <v>44854</v>
      </c>
      <c r="U27" s="4">
        <v>100</v>
      </c>
      <c r="V27" s="4">
        <v>99.96</v>
      </c>
      <c r="W27" s="3"/>
      <c r="X27" s="3"/>
      <c r="Y27" s="5">
        <v>44844</v>
      </c>
      <c r="Z27" s="5">
        <v>44980</v>
      </c>
      <c r="AA27" s="5">
        <v>45028</v>
      </c>
      <c r="AB27" s="6">
        <v>45028</v>
      </c>
      <c r="AC27" s="5">
        <v>45028</v>
      </c>
      <c r="AD27" s="5">
        <v>45412</v>
      </c>
      <c r="AE27" s="5">
        <v>45412</v>
      </c>
      <c r="AF27" s="5">
        <v>46157</v>
      </c>
      <c r="AG27" s="3" t="s">
        <v>236</v>
      </c>
      <c r="AH27" s="3" t="s">
        <v>78</v>
      </c>
      <c r="AI27" s="5">
        <v>46157</v>
      </c>
      <c r="AJ27" s="3"/>
      <c r="AK27" s="3"/>
      <c r="AL27" s="3"/>
      <c r="AM27" s="3" t="str">
        <f t="shared" si="0"/>
        <v/>
      </c>
      <c r="AN27" s="3" t="str">
        <f t="shared" si="1"/>
        <v/>
      </c>
      <c r="AO27" s="3">
        <f t="shared" si="2"/>
        <v>100</v>
      </c>
      <c r="AP27" s="3" t="str">
        <f t="shared" si="3"/>
        <v/>
      </c>
      <c r="AQ27" s="3">
        <v>1</v>
      </c>
      <c r="AR27" s="3"/>
      <c r="AS27" s="3">
        <f t="shared" si="4"/>
        <v>0</v>
      </c>
      <c r="AT27" s="4">
        <v>0</v>
      </c>
      <c r="AU27" s="3">
        <f t="shared" si="5"/>
        <v>90</v>
      </c>
      <c r="AV27" s="3" t="str">
        <f t="shared" si="6"/>
        <v/>
      </c>
      <c r="AW27" s="3" t="s">
        <v>79</v>
      </c>
    </row>
    <row r="28" spans="1:49" ht="70.05" customHeight="1" x14ac:dyDescent="0.3">
      <c r="A28" s="3" t="s">
        <v>237</v>
      </c>
      <c r="B28" s="3" t="s">
        <v>90</v>
      </c>
      <c r="C28" s="3" t="s">
        <v>238</v>
      </c>
      <c r="D28" s="3" t="s">
        <v>239</v>
      </c>
      <c r="E28" s="3" t="s">
        <v>93</v>
      </c>
      <c r="F28" s="3" t="s">
        <v>240</v>
      </c>
      <c r="G28" s="3" t="s">
        <v>208</v>
      </c>
      <c r="H28" s="3" t="s">
        <v>104</v>
      </c>
      <c r="I28" s="3" t="s">
        <v>95</v>
      </c>
      <c r="J28" s="3" t="s">
        <v>96</v>
      </c>
      <c r="K28" s="4">
        <v>10889084257</v>
      </c>
      <c r="L28" s="4">
        <v>0</v>
      </c>
      <c r="M28" s="4">
        <v>0</v>
      </c>
      <c r="N28" s="4">
        <v>0</v>
      </c>
      <c r="O28" s="4">
        <v>10889084257</v>
      </c>
      <c r="P28" s="4">
        <v>10889084255.700001</v>
      </c>
      <c r="Q28" s="5">
        <v>45804</v>
      </c>
      <c r="R28" s="5">
        <v>44926</v>
      </c>
      <c r="S28" s="5">
        <v>44925</v>
      </c>
      <c r="T28" s="5">
        <v>44952</v>
      </c>
      <c r="U28" s="4">
        <v>100</v>
      </c>
      <c r="V28" s="4">
        <v>100</v>
      </c>
      <c r="W28" s="3"/>
      <c r="X28" s="3"/>
      <c r="Y28" s="5">
        <v>44924</v>
      </c>
      <c r="Z28" s="5">
        <v>45020</v>
      </c>
      <c r="AA28" s="5">
        <v>45107</v>
      </c>
      <c r="AB28" s="6">
        <v>45107</v>
      </c>
      <c r="AC28" s="5">
        <v>45139</v>
      </c>
      <c r="AD28" s="5">
        <v>45746</v>
      </c>
      <c r="AE28" s="5">
        <v>45746</v>
      </c>
      <c r="AF28" s="5">
        <v>46157</v>
      </c>
      <c r="AG28" s="3" t="s">
        <v>241</v>
      </c>
      <c r="AH28" s="3" t="s">
        <v>242</v>
      </c>
      <c r="AI28" s="5">
        <v>46152</v>
      </c>
      <c r="AJ28" s="3"/>
      <c r="AK28" s="3"/>
      <c r="AL28" s="3"/>
      <c r="AM28" s="3" t="str">
        <f t="shared" si="0"/>
        <v/>
      </c>
      <c r="AN28" s="3" t="str">
        <f t="shared" si="1"/>
        <v/>
      </c>
      <c r="AO28" s="3">
        <f t="shared" si="2"/>
        <v>100</v>
      </c>
      <c r="AP28" s="3" t="str">
        <f t="shared" si="3"/>
        <v/>
      </c>
      <c r="AQ28" s="3">
        <v>1</v>
      </c>
      <c r="AR28" s="3"/>
      <c r="AS28" s="3">
        <f t="shared" si="4"/>
        <v>100</v>
      </c>
      <c r="AT28" s="4"/>
      <c r="AU28" s="3">
        <f t="shared" si="5"/>
        <v>90</v>
      </c>
      <c r="AV28" s="3" t="str">
        <f t="shared" si="6"/>
        <v/>
      </c>
      <c r="AW28" s="3" t="s">
        <v>209</v>
      </c>
    </row>
    <row r="29" spans="1:49" ht="70.05" customHeight="1" x14ac:dyDescent="0.3">
      <c r="A29" s="3" t="s">
        <v>243</v>
      </c>
      <c r="B29" s="3" t="s">
        <v>90</v>
      </c>
      <c r="C29" s="3" t="s">
        <v>244</v>
      </c>
      <c r="D29" s="3" t="s">
        <v>245</v>
      </c>
      <c r="E29" s="3" t="s">
        <v>221</v>
      </c>
      <c r="F29" s="3" t="s">
        <v>246</v>
      </c>
      <c r="G29" s="3" t="s">
        <v>56</v>
      </c>
      <c r="H29" s="3" t="s">
        <v>57</v>
      </c>
      <c r="I29" s="3" t="s">
        <v>69</v>
      </c>
      <c r="J29" s="3" t="s">
        <v>96</v>
      </c>
      <c r="K29" s="4">
        <v>9528331044</v>
      </c>
      <c r="L29" s="4">
        <v>0</v>
      </c>
      <c r="M29" s="4">
        <v>0</v>
      </c>
      <c r="N29" s="4">
        <v>0</v>
      </c>
      <c r="O29" s="4">
        <v>9528331044</v>
      </c>
      <c r="P29" s="4">
        <v>9480535511</v>
      </c>
      <c r="Q29" s="5">
        <v>46155</v>
      </c>
      <c r="R29" s="5">
        <v>44800</v>
      </c>
      <c r="S29" s="5">
        <v>44798</v>
      </c>
      <c r="T29" s="5">
        <v>44826</v>
      </c>
      <c r="U29" s="4">
        <v>99.5</v>
      </c>
      <c r="V29" s="4">
        <v>99.5</v>
      </c>
      <c r="W29" s="3"/>
      <c r="X29" s="3"/>
      <c r="Y29" s="5">
        <v>44797</v>
      </c>
      <c r="Z29" s="5">
        <v>45012</v>
      </c>
      <c r="AA29" s="5">
        <v>45054</v>
      </c>
      <c r="AB29" s="6">
        <v>45054</v>
      </c>
      <c r="AC29" s="5">
        <v>45111</v>
      </c>
      <c r="AD29" s="5">
        <v>45858</v>
      </c>
      <c r="AE29" s="5">
        <v>45858</v>
      </c>
      <c r="AF29" s="5">
        <v>46157</v>
      </c>
      <c r="AG29" s="3" t="s">
        <v>247</v>
      </c>
      <c r="AH29" s="3" t="s">
        <v>248</v>
      </c>
      <c r="AI29" s="5">
        <v>46152</v>
      </c>
      <c r="AJ29" s="3"/>
      <c r="AK29" s="3"/>
      <c r="AL29" s="3"/>
      <c r="AM29" s="3" t="str">
        <f t="shared" si="0"/>
        <v/>
      </c>
      <c r="AN29" s="3" t="str">
        <f t="shared" si="1"/>
        <v/>
      </c>
      <c r="AO29" s="3">
        <f t="shared" si="2"/>
        <v>100</v>
      </c>
      <c r="AP29" s="3" t="str">
        <f t="shared" si="3"/>
        <v/>
      </c>
      <c r="AQ29" s="3">
        <v>2</v>
      </c>
      <c r="AR29" s="3"/>
      <c r="AS29" s="3">
        <f t="shared" si="4"/>
        <v>100</v>
      </c>
      <c r="AT29" s="4">
        <v>0</v>
      </c>
      <c r="AU29" s="3">
        <f t="shared" si="5"/>
        <v>75</v>
      </c>
      <c r="AV29" s="3" t="str">
        <f t="shared" si="6"/>
        <v/>
      </c>
      <c r="AW29" s="3" t="s">
        <v>249</v>
      </c>
    </row>
    <row r="30" spans="1:49" ht="70.05" customHeight="1" x14ac:dyDescent="0.3">
      <c r="A30" s="3" t="s">
        <v>250</v>
      </c>
      <c r="B30" s="3" t="s">
        <v>90</v>
      </c>
      <c r="C30" s="3" t="s">
        <v>251</v>
      </c>
      <c r="D30" s="3" t="s">
        <v>252</v>
      </c>
      <c r="E30" s="3" t="s">
        <v>221</v>
      </c>
      <c r="F30" s="3" t="s">
        <v>253</v>
      </c>
      <c r="G30" s="3" t="s">
        <v>208</v>
      </c>
      <c r="H30" s="3" t="s">
        <v>104</v>
      </c>
      <c r="I30" s="3" t="s">
        <v>95</v>
      </c>
      <c r="J30" s="3" t="s">
        <v>96</v>
      </c>
      <c r="K30" s="4">
        <v>14530936843.950001</v>
      </c>
      <c r="L30" s="4">
        <v>0</v>
      </c>
      <c r="M30" s="4">
        <v>0</v>
      </c>
      <c r="N30" s="4">
        <v>0</v>
      </c>
      <c r="O30" s="4">
        <v>14530936843.950001</v>
      </c>
      <c r="P30" s="4">
        <v>14530936843.950001</v>
      </c>
      <c r="Q30" s="5">
        <v>45727</v>
      </c>
      <c r="R30" s="5">
        <v>44926</v>
      </c>
      <c r="S30" s="5">
        <v>44925</v>
      </c>
      <c r="T30" s="5">
        <v>44952</v>
      </c>
      <c r="U30" s="4">
        <v>100</v>
      </c>
      <c r="V30" s="4">
        <v>100</v>
      </c>
      <c r="W30" s="3"/>
      <c r="X30" s="3"/>
      <c r="Y30" s="5">
        <v>44924</v>
      </c>
      <c r="Z30" s="5">
        <v>45009</v>
      </c>
      <c r="AA30" s="5">
        <v>45077</v>
      </c>
      <c r="AB30" s="6">
        <v>45077</v>
      </c>
      <c r="AC30" s="5">
        <v>45112</v>
      </c>
      <c r="AD30" s="5">
        <v>45569</v>
      </c>
      <c r="AE30" s="5">
        <v>45569</v>
      </c>
      <c r="AF30" s="5">
        <v>46157</v>
      </c>
      <c r="AG30" s="3" t="s">
        <v>242</v>
      </c>
      <c r="AH30" s="3"/>
      <c r="AI30" s="5"/>
      <c r="AJ30" s="3"/>
      <c r="AK30" s="3"/>
      <c r="AL30" s="3"/>
      <c r="AM30" s="3" t="str">
        <f t="shared" si="0"/>
        <v/>
      </c>
      <c r="AN30" s="3" t="str">
        <f t="shared" si="1"/>
        <v/>
      </c>
      <c r="AO30" s="3">
        <f t="shared" si="2"/>
        <v>100</v>
      </c>
      <c r="AP30" s="3" t="str">
        <f t="shared" si="3"/>
        <v/>
      </c>
      <c r="AQ30" s="3">
        <v>1</v>
      </c>
      <c r="AR30" s="3"/>
      <c r="AS30" s="3" t="str">
        <f t="shared" si="4"/>
        <v/>
      </c>
      <c r="AT30" s="4"/>
      <c r="AU30" s="3">
        <f t="shared" si="5"/>
        <v>90</v>
      </c>
      <c r="AV30" s="3" t="str">
        <f t="shared" si="6"/>
        <v/>
      </c>
      <c r="AW30" s="3" t="s">
        <v>209</v>
      </c>
    </row>
    <row r="31" spans="1:49" ht="70.05" customHeight="1" x14ac:dyDescent="0.3">
      <c r="A31" s="3" t="s">
        <v>254</v>
      </c>
      <c r="B31" s="3" t="s">
        <v>90</v>
      </c>
      <c r="C31" s="3" t="s">
        <v>255</v>
      </c>
      <c r="D31" s="3" t="s">
        <v>256</v>
      </c>
      <c r="E31" s="3" t="s">
        <v>257</v>
      </c>
      <c r="F31" s="3" t="s">
        <v>258</v>
      </c>
      <c r="G31" s="3" t="s">
        <v>208</v>
      </c>
      <c r="H31" s="3" t="s">
        <v>104</v>
      </c>
      <c r="I31" s="3" t="s">
        <v>95</v>
      </c>
      <c r="J31" s="3" t="s">
        <v>216</v>
      </c>
      <c r="K31" s="4">
        <v>1226001186</v>
      </c>
      <c r="L31" s="4">
        <v>0</v>
      </c>
      <c r="M31" s="4">
        <v>0</v>
      </c>
      <c r="N31" s="4">
        <v>0</v>
      </c>
      <c r="O31" s="4">
        <v>1226001186</v>
      </c>
      <c r="P31" s="4">
        <v>1226001180.24</v>
      </c>
      <c r="Q31" s="5">
        <v>46135</v>
      </c>
      <c r="R31" s="5">
        <v>45104</v>
      </c>
      <c r="S31" s="5">
        <v>45094</v>
      </c>
      <c r="T31" s="5">
        <v>45107</v>
      </c>
      <c r="U31" s="4">
        <v>100</v>
      </c>
      <c r="V31" s="4">
        <v>100</v>
      </c>
      <c r="W31" s="3"/>
      <c r="X31" s="3"/>
      <c r="Y31" s="5">
        <v>45093</v>
      </c>
      <c r="Z31" s="5">
        <v>45250</v>
      </c>
      <c r="AA31" s="5">
        <v>45348</v>
      </c>
      <c r="AB31" s="6">
        <v>45348</v>
      </c>
      <c r="AC31" s="5">
        <v>45426</v>
      </c>
      <c r="AD31" s="5">
        <v>45900</v>
      </c>
      <c r="AE31" s="5">
        <v>45900</v>
      </c>
      <c r="AF31" s="5">
        <v>46157</v>
      </c>
      <c r="AG31" s="3" t="s">
        <v>241</v>
      </c>
      <c r="AH31" s="3" t="s">
        <v>259</v>
      </c>
      <c r="AI31" s="5">
        <v>46152</v>
      </c>
      <c r="AJ31" s="3"/>
      <c r="AK31" s="3"/>
      <c r="AL31" s="3"/>
      <c r="AM31" s="3" t="str">
        <f t="shared" si="0"/>
        <v/>
      </c>
      <c r="AN31" s="3" t="str">
        <f t="shared" si="1"/>
        <v/>
      </c>
      <c r="AO31" s="3">
        <f t="shared" si="2"/>
        <v>100</v>
      </c>
      <c r="AP31" s="3" t="str">
        <f t="shared" si="3"/>
        <v/>
      </c>
      <c r="AQ31" s="3">
        <v>2</v>
      </c>
      <c r="AR31" s="3"/>
      <c r="AS31" s="3">
        <f t="shared" si="4"/>
        <v>100</v>
      </c>
      <c r="AT31" s="4"/>
      <c r="AU31" s="3">
        <f t="shared" si="5"/>
        <v>75</v>
      </c>
      <c r="AV31" s="3" t="str">
        <f t="shared" si="6"/>
        <v/>
      </c>
      <c r="AW31" s="3" t="s">
        <v>209</v>
      </c>
    </row>
    <row r="32" spans="1:49" ht="70.05" customHeight="1" x14ac:dyDescent="0.3">
      <c r="A32" s="3" t="s">
        <v>260</v>
      </c>
      <c r="B32" s="3" t="s">
        <v>90</v>
      </c>
      <c r="C32" s="3" t="s">
        <v>261</v>
      </c>
      <c r="D32" s="3" t="s">
        <v>262</v>
      </c>
      <c r="E32" s="3" t="s">
        <v>93</v>
      </c>
      <c r="F32" s="3" t="s">
        <v>263</v>
      </c>
      <c r="G32" s="3" t="s">
        <v>85</v>
      </c>
      <c r="H32" s="3" t="s">
        <v>86</v>
      </c>
      <c r="I32" s="3" t="s">
        <v>95</v>
      </c>
      <c r="J32" s="3" t="s">
        <v>264</v>
      </c>
      <c r="K32" s="4">
        <v>10940798931</v>
      </c>
      <c r="L32" s="4">
        <v>0</v>
      </c>
      <c r="M32" s="4">
        <v>0</v>
      </c>
      <c r="N32" s="4">
        <v>0</v>
      </c>
      <c r="O32" s="4">
        <v>10940798931</v>
      </c>
      <c r="P32" s="4">
        <v>10089171737.309999</v>
      </c>
      <c r="Q32" s="5">
        <v>46150</v>
      </c>
      <c r="R32" s="5">
        <v>45474</v>
      </c>
      <c r="S32" s="5">
        <v>45472</v>
      </c>
      <c r="T32" s="5">
        <v>45490</v>
      </c>
      <c r="U32" s="4">
        <v>85.25</v>
      </c>
      <c r="V32" s="4">
        <v>92.22</v>
      </c>
      <c r="W32" s="3">
        <v>1</v>
      </c>
      <c r="X32" s="3">
        <v>0.97</v>
      </c>
      <c r="Y32" s="5">
        <v>45471</v>
      </c>
      <c r="Z32" s="5">
        <v>45573</v>
      </c>
      <c r="AA32" s="5">
        <v>45793</v>
      </c>
      <c r="AB32" s="6">
        <v>45793</v>
      </c>
      <c r="AC32" s="5">
        <v>45847</v>
      </c>
      <c r="AD32" s="5">
        <v>46151</v>
      </c>
      <c r="AE32" s="5"/>
      <c r="AF32" s="5">
        <v>46157</v>
      </c>
      <c r="AG32" s="3" t="s">
        <v>265</v>
      </c>
      <c r="AH32" s="3" t="s">
        <v>266</v>
      </c>
      <c r="AI32" s="5">
        <v>46152</v>
      </c>
      <c r="AJ32" s="3"/>
      <c r="AK32" s="3"/>
      <c r="AL32" s="3"/>
      <c r="AM32" s="3">
        <f t="shared" si="0"/>
        <v>100</v>
      </c>
      <c r="AN32" s="3">
        <f t="shared" si="1"/>
        <v>100</v>
      </c>
      <c r="AO32" s="3">
        <f t="shared" si="2"/>
        <v>100</v>
      </c>
      <c r="AP32" s="3">
        <f t="shared" si="3"/>
        <v>100</v>
      </c>
      <c r="AQ32" s="3">
        <v>0</v>
      </c>
      <c r="AR32" s="3"/>
      <c r="AS32" s="3">
        <f t="shared" si="4"/>
        <v>100</v>
      </c>
      <c r="AT32" s="4">
        <v>100</v>
      </c>
      <c r="AU32" s="3">
        <f t="shared" si="5"/>
        <v>100</v>
      </c>
      <c r="AV32" s="3">
        <f t="shared" si="6"/>
        <v>100</v>
      </c>
      <c r="AW32" s="3" t="s">
        <v>267</v>
      </c>
    </row>
    <row r="33" spans="1:49" ht="70.05" customHeight="1" x14ac:dyDescent="0.3">
      <c r="A33" s="3" t="s">
        <v>268</v>
      </c>
      <c r="B33" s="3" t="s">
        <v>269</v>
      </c>
      <c r="C33" s="3" t="s">
        <v>270</v>
      </c>
      <c r="D33" s="3" t="s">
        <v>271</v>
      </c>
      <c r="E33" s="3" t="s">
        <v>272</v>
      </c>
      <c r="F33" s="3" t="s">
        <v>273</v>
      </c>
      <c r="G33" s="3" t="s">
        <v>85</v>
      </c>
      <c r="H33" s="3" t="s">
        <v>86</v>
      </c>
      <c r="I33" s="3" t="s">
        <v>69</v>
      </c>
      <c r="J33" s="3" t="s">
        <v>96</v>
      </c>
      <c r="K33" s="4">
        <v>8600669220</v>
      </c>
      <c r="L33" s="4">
        <v>0</v>
      </c>
      <c r="M33" s="4">
        <v>216384280</v>
      </c>
      <c r="N33" s="4">
        <v>0</v>
      </c>
      <c r="O33" s="4">
        <v>8817053500</v>
      </c>
      <c r="P33" s="4">
        <v>3440267688</v>
      </c>
      <c r="Q33" s="5">
        <v>45895</v>
      </c>
      <c r="R33" s="5">
        <v>45094</v>
      </c>
      <c r="S33" s="5">
        <v>45094</v>
      </c>
      <c r="T33" s="5">
        <v>45100</v>
      </c>
      <c r="U33" s="4">
        <v>98.16</v>
      </c>
      <c r="V33" s="4">
        <v>39.020000000000003</v>
      </c>
      <c r="W33" s="3">
        <v>0</v>
      </c>
      <c r="X33" s="3">
        <v>0</v>
      </c>
      <c r="Y33" s="5">
        <v>45093</v>
      </c>
      <c r="Z33" s="5">
        <v>45093</v>
      </c>
      <c r="AA33" s="5">
        <v>45188</v>
      </c>
      <c r="AB33" s="6">
        <v>45188</v>
      </c>
      <c r="AC33" s="5">
        <v>45202</v>
      </c>
      <c r="AD33" s="5">
        <v>46056</v>
      </c>
      <c r="AE33" s="5"/>
      <c r="AF33" s="5">
        <v>46157</v>
      </c>
      <c r="AG33" s="3" t="s">
        <v>274</v>
      </c>
      <c r="AH33" s="3" t="s">
        <v>275</v>
      </c>
      <c r="AI33" s="5">
        <v>46152</v>
      </c>
      <c r="AJ33" s="3"/>
      <c r="AK33" s="3"/>
      <c r="AL33" s="3"/>
      <c r="AM33" s="3">
        <f t="shared" si="0"/>
        <v>0</v>
      </c>
      <c r="AN33" s="3">
        <f t="shared" si="1"/>
        <v>0</v>
      </c>
      <c r="AO33" s="3">
        <f t="shared" si="2"/>
        <v>100</v>
      </c>
      <c r="AP33" s="3">
        <f t="shared" si="3"/>
        <v>100</v>
      </c>
      <c r="AQ33" s="3">
        <v>3</v>
      </c>
      <c r="AR33" s="3"/>
      <c r="AS33" s="3">
        <f t="shared" si="4"/>
        <v>100</v>
      </c>
      <c r="AT33" s="4">
        <v>0</v>
      </c>
      <c r="AU33" s="3">
        <f t="shared" si="5"/>
        <v>60</v>
      </c>
      <c r="AV33" s="3">
        <f t="shared" si="6"/>
        <v>24</v>
      </c>
      <c r="AW33" s="3" t="s">
        <v>276</v>
      </c>
    </row>
    <row r="34" spans="1:49" ht="70.05" customHeight="1" x14ac:dyDescent="0.3">
      <c r="A34" s="3" t="s">
        <v>277</v>
      </c>
      <c r="B34" s="3" t="s">
        <v>90</v>
      </c>
      <c r="C34" s="3" t="s">
        <v>278</v>
      </c>
      <c r="D34" s="3" t="s">
        <v>279</v>
      </c>
      <c r="E34" s="3" t="s">
        <v>280</v>
      </c>
      <c r="F34" s="3" t="s">
        <v>281</v>
      </c>
      <c r="G34" s="3" t="s">
        <v>208</v>
      </c>
      <c r="H34" s="3" t="s">
        <v>104</v>
      </c>
      <c r="I34" s="3" t="s">
        <v>95</v>
      </c>
      <c r="J34" s="3" t="s">
        <v>96</v>
      </c>
      <c r="K34" s="4">
        <v>1657061525</v>
      </c>
      <c r="L34" s="4">
        <v>0</v>
      </c>
      <c r="M34" s="4">
        <v>0</v>
      </c>
      <c r="N34" s="4">
        <v>0</v>
      </c>
      <c r="O34" s="4">
        <v>1657061525</v>
      </c>
      <c r="P34" s="4">
        <v>1657061514.45</v>
      </c>
      <c r="Q34" s="5">
        <v>45986</v>
      </c>
      <c r="R34" s="5">
        <v>45104</v>
      </c>
      <c r="S34" s="5">
        <v>45094</v>
      </c>
      <c r="T34" s="5">
        <v>45105</v>
      </c>
      <c r="U34" s="4">
        <v>100.01</v>
      </c>
      <c r="V34" s="4">
        <v>100</v>
      </c>
      <c r="W34" s="3"/>
      <c r="X34" s="3"/>
      <c r="Y34" s="5">
        <v>45093</v>
      </c>
      <c r="Z34" s="5">
        <v>45275</v>
      </c>
      <c r="AA34" s="5">
        <v>45386</v>
      </c>
      <c r="AB34" s="6">
        <v>45386</v>
      </c>
      <c r="AC34" s="5">
        <v>45411</v>
      </c>
      <c r="AD34" s="5">
        <v>45716</v>
      </c>
      <c r="AE34" s="5">
        <v>45716</v>
      </c>
      <c r="AF34" s="5">
        <v>46157</v>
      </c>
      <c r="AG34" s="3" t="s">
        <v>282</v>
      </c>
      <c r="AH34" s="3" t="s">
        <v>242</v>
      </c>
      <c r="AI34" s="5">
        <v>46152</v>
      </c>
      <c r="AJ34" s="3"/>
      <c r="AK34" s="3"/>
      <c r="AL34" s="3"/>
      <c r="AM34" s="3" t="str">
        <f t="shared" si="0"/>
        <v/>
      </c>
      <c r="AN34" s="3" t="str">
        <f t="shared" si="1"/>
        <v/>
      </c>
      <c r="AO34" s="3">
        <f t="shared" si="2"/>
        <v>100</v>
      </c>
      <c r="AP34" s="3" t="str">
        <f t="shared" si="3"/>
        <v/>
      </c>
      <c r="AQ34" s="3">
        <v>1</v>
      </c>
      <c r="AR34" s="3"/>
      <c r="AS34" s="3">
        <f t="shared" si="4"/>
        <v>100</v>
      </c>
      <c r="AT34" s="4"/>
      <c r="AU34" s="3">
        <f t="shared" si="5"/>
        <v>90</v>
      </c>
      <c r="AV34" s="3" t="str">
        <f t="shared" si="6"/>
        <v/>
      </c>
      <c r="AW34" s="3" t="s">
        <v>209</v>
      </c>
    </row>
    <row r="35" spans="1:49" ht="70.05" customHeight="1" x14ac:dyDescent="0.3">
      <c r="A35" s="3" t="s">
        <v>283</v>
      </c>
      <c r="B35" s="3" t="s">
        <v>81</v>
      </c>
      <c r="C35" s="3" t="s">
        <v>284</v>
      </c>
      <c r="D35" s="3" t="s">
        <v>285</v>
      </c>
      <c r="E35" s="3" t="s">
        <v>286</v>
      </c>
      <c r="F35" s="3" t="s">
        <v>287</v>
      </c>
      <c r="G35" s="3" t="s">
        <v>208</v>
      </c>
      <c r="H35" s="3" t="s">
        <v>104</v>
      </c>
      <c r="I35" s="3" t="s">
        <v>161</v>
      </c>
      <c r="J35" s="3" t="s">
        <v>96</v>
      </c>
      <c r="K35" s="4">
        <v>14555629486.65</v>
      </c>
      <c r="L35" s="4">
        <v>0</v>
      </c>
      <c r="M35" s="4">
        <v>0</v>
      </c>
      <c r="N35" s="4">
        <v>0</v>
      </c>
      <c r="O35" s="4">
        <v>14555629486.65</v>
      </c>
      <c r="P35" s="4">
        <v>13745203046.280001</v>
      </c>
      <c r="Q35" s="5">
        <v>45328</v>
      </c>
      <c r="R35" s="5">
        <v>45104</v>
      </c>
      <c r="S35" s="5">
        <v>45101</v>
      </c>
      <c r="T35" s="5">
        <v>45107</v>
      </c>
      <c r="U35" s="4">
        <v>94.43</v>
      </c>
      <c r="V35" s="4">
        <v>94.43</v>
      </c>
      <c r="W35" s="3"/>
      <c r="X35" s="3"/>
      <c r="Y35" s="5">
        <v>45100</v>
      </c>
      <c r="Z35" s="5"/>
      <c r="AA35" s="5">
        <v>45223</v>
      </c>
      <c r="AB35" s="6">
        <v>45223</v>
      </c>
      <c r="AC35" s="5">
        <v>45223</v>
      </c>
      <c r="AD35" s="5">
        <v>45288</v>
      </c>
      <c r="AE35" s="5">
        <v>45288</v>
      </c>
      <c r="AF35" s="5">
        <v>46157</v>
      </c>
      <c r="AG35" s="3"/>
      <c r="AH35" s="3"/>
      <c r="AI35" s="5"/>
      <c r="AJ35" s="3"/>
      <c r="AK35" s="3"/>
      <c r="AL35" s="3"/>
      <c r="AM35" s="3" t="str">
        <f t="shared" ref="AM35:AM60" si="7">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
      </c>
      <c r="AN35" s="3" t="str">
        <f t="shared" ref="AN35:AN60" si="8">IF(AND($W35&gt;1.3,$G35="CONTRATADO EN EJECUCIÓN"),0,IF(AND($W35&gt;1.25,$W35&lt;=1.3,$G35="CONTRATADO EN EJECUCIÓN"),30,IF(AND($W35&gt;1.2,$W35&lt;=1.25,$G35="CONTRATADO EN EJECUCIÓN"),90,IF(AND($W35&gt;=0.84,$W35&lt;1.2,$G35="CONTRATADO EN EJECUCIÓN"),100,IF(AND($W35&gt;=0.38,$W35&lt;0.84,$G35="CONTRATADO EN EJECUCIÓN"),(($W35-0.38)/(0.84-0.38))*100,IF(AND($W35&lt;0.38,$G35="CONTRATADO EN EJECUCIÓN"),0,""))))))</f>
        <v/>
      </c>
      <c r="AO35" s="3">
        <f t="shared" ref="AO35:AO60" si="9">IF(AND($V35&lt;60,($V35-$U35)&lt;=50),100,IF(AND($V35&lt;60,($V35-$U35)&gt;50),0,IF(AND($V35&gt;=60,$V35&lt;70,($V35-$U35)&lt;=40),100,IF(AND($V35&gt;=60,$V35&lt;70,($V35-$U35)&gt;40),0,IF(AND($V35&gt;=70,$V35&lt;80,($V35-$U35)&lt;=30),100,IF(AND($V35&gt;=70,$V35&lt;80,($V35-$U35)&gt;30),0,IF(AND($V35&gt;=80,$V35&lt;90,($V35-$U35)&lt;=20),100,IF(AND($V35&gt;=80,$V35&lt;90,($V35-$U35)&gt;20),0,IF(AND($V35&gt;=90,$V35&lt;=100,($V35-$U35)&lt;=10),100,IF(AND($V35&gt;=90,$V35&lt;=100,($V35-$U35)&gt;10),0,""))))))))))</f>
        <v>100</v>
      </c>
      <c r="AP35" s="3" t="str">
        <f t="shared" ref="AP35:AP60" si="10">IF(AND($U35&gt;$V35,$G35="CONTRATADO EN EJECUCIÓN"),100,IF(AND($V35&gt;$U35,($V35-$U35)&gt;50,$G35="CONTRATADO EN EJECUCIÓN"),0,IF(AND($V35&gt;$U35,($V35-$U35)&lt;=50,$V35&lt;=60),100,IF(AND($V35&gt;$U35,($V35-$U35)&lt;=50,$V35&gt;60),$AO35,""))))</f>
        <v/>
      </c>
      <c r="AQ35" s="3">
        <v>0</v>
      </c>
      <c r="AR35" s="3"/>
      <c r="AS35" s="3" t="str">
        <f t="shared" ref="AS35:AS60" si="11">IF(ISNUMBER($AI35),IF(DAY($AI35)=10,100,IF(DAY($AI35)=11,80,IF(DAY($AI35)=12,50,0))),"")</f>
        <v/>
      </c>
      <c r="AT35" s="4"/>
      <c r="AU35" s="3">
        <f t="shared" ref="AU35:AU60" si="12">IF($AQ35=0,100,IF($AQ35=1,90,IF($AQ35=2,75,IF($AQ35=3,60,IF($AQ35=4,50,IF($AQ35=5,25,IF($AQ35&gt;=6,0,"")))))))</f>
        <v>100</v>
      </c>
      <c r="AV35" s="3" t="str">
        <f t="shared" ref="AV35:AV60" si="13">IFERROR(IF(AND($G35="CONTRATADO EN EJECUCIÓN",$AQ35&gt;=1),(IFERROR(IF(ISTEXT($AG35),($AM35*0.4+$AN35*0.2+$AP35*0.4),""),""))*$AU35/100,IFERROR(IF(ISTEXT($AG35),($AM35*0.4+$AN35*0.2+$AP35*0.4),""),"")),0)</f>
        <v/>
      </c>
      <c r="AW35" s="3" t="s">
        <v>209</v>
      </c>
    </row>
    <row r="36" spans="1:49" ht="70.05" customHeight="1" x14ac:dyDescent="0.3">
      <c r="A36" s="3" t="s">
        <v>288</v>
      </c>
      <c r="B36" s="3" t="s">
        <v>90</v>
      </c>
      <c r="C36" s="3" t="s">
        <v>289</v>
      </c>
      <c r="D36" s="3" t="s">
        <v>290</v>
      </c>
      <c r="E36" s="3" t="s">
        <v>93</v>
      </c>
      <c r="F36" s="3" t="s">
        <v>291</v>
      </c>
      <c r="G36" s="3" t="s">
        <v>85</v>
      </c>
      <c r="H36" s="3" t="s">
        <v>86</v>
      </c>
      <c r="I36" s="3" t="s">
        <v>95</v>
      </c>
      <c r="J36" s="3" t="s">
        <v>96</v>
      </c>
      <c r="K36" s="4">
        <v>23521931236</v>
      </c>
      <c r="L36" s="4">
        <v>0</v>
      </c>
      <c r="M36" s="4">
        <v>30000000000</v>
      </c>
      <c r="N36" s="4">
        <v>0</v>
      </c>
      <c r="O36" s="4">
        <v>53521931236</v>
      </c>
      <c r="P36" s="4">
        <v>1833458390</v>
      </c>
      <c r="Q36" s="5">
        <v>46078</v>
      </c>
      <c r="R36" s="5">
        <v>45508</v>
      </c>
      <c r="S36" s="5">
        <v>45506</v>
      </c>
      <c r="T36" s="5">
        <v>45505</v>
      </c>
      <c r="U36" s="4">
        <v>7.66</v>
      </c>
      <c r="V36" s="4">
        <v>2.78</v>
      </c>
      <c r="W36" s="3">
        <v>1</v>
      </c>
      <c r="X36" s="3">
        <v>0.71</v>
      </c>
      <c r="Y36" s="5">
        <v>45505</v>
      </c>
      <c r="Z36" s="5"/>
      <c r="AA36" s="5">
        <v>45953</v>
      </c>
      <c r="AB36" s="6">
        <v>45953</v>
      </c>
      <c r="AC36" s="5">
        <v>45967</v>
      </c>
      <c r="AD36" s="5">
        <v>46727</v>
      </c>
      <c r="AE36" s="5"/>
      <c r="AF36" s="5">
        <v>46157</v>
      </c>
      <c r="AG36" s="3" t="s">
        <v>292</v>
      </c>
      <c r="AH36" s="3" t="s">
        <v>293</v>
      </c>
      <c r="AI36" s="5">
        <v>46152</v>
      </c>
      <c r="AJ36" s="3"/>
      <c r="AK36" s="3"/>
      <c r="AL36" s="3"/>
      <c r="AM36" s="3">
        <f t="shared" si="7"/>
        <v>71.739130434782609</v>
      </c>
      <c r="AN36" s="3">
        <f t="shared" si="8"/>
        <v>100</v>
      </c>
      <c r="AO36" s="3">
        <f t="shared" si="9"/>
        <v>100</v>
      </c>
      <c r="AP36" s="3">
        <f t="shared" si="10"/>
        <v>100</v>
      </c>
      <c r="AQ36" s="3">
        <v>0</v>
      </c>
      <c r="AR36" s="3"/>
      <c r="AS36" s="3">
        <f t="shared" si="11"/>
        <v>100</v>
      </c>
      <c r="AT36" s="4">
        <v>100</v>
      </c>
      <c r="AU36" s="3">
        <f t="shared" si="12"/>
        <v>100</v>
      </c>
      <c r="AV36" s="3">
        <f t="shared" si="13"/>
        <v>88.695652173913047</v>
      </c>
      <c r="AW36" s="3" t="s">
        <v>294</v>
      </c>
    </row>
    <row r="37" spans="1:49" ht="70.05" customHeight="1" x14ac:dyDescent="0.3">
      <c r="A37" s="3" t="s">
        <v>295</v>
      </c>
      <c r="B37" s="3" t="s">
        <v>73</v>
      </c>
      <c r="C37" s="3" t="s">
        <v>296</v>
      </c>
      <c r="D37" s="3" t="s">
        <v>297</v>
      </c>
      <c r="E37" s="3" t="s">
        <v>137</v>
      </c>
      <c r="F37" s="3" t="s">
        <v>298</v>
      </c>
      <c r="G37" s="3" t="s">
        <v>56</v>
      </c>
      <c r="H37" s="3" t="s">
        <v>86</v>
      </c>
      <c r="I37" s="3" t="s">
        <v>69</v>
      </c>
      <c r="J37" s="3" t="s">
        <v>96</v>
      </c>
      <c r="K37" s="4">
        <v>2999999744</v>
      </c>
      <c r="L37" s="4">
        <v>0</v>
      </c>
      <c r="M37" s="4">
        <v>0</v>
      </c>
      <c r="N37" s="4">
        <v>0</v>
      </c>
      <c r="O37" s="4">
        <v>2999999744</v>
      </c>
      <c r="P37" s="4">
        <v>2999999744</v>
      </c>
      <c r="Q37" s="5">
        <v>45477</v>
      </c>
      <c r="R37" s="5">
        <v>45241</v>
      </c>
      <c r="S37" s="5">
        <v>45234</v>
      </c>
      <c r="T37" s="5">
        <v>45244</v>
      </c>
      <c r="U37" s="4">
        <v>95.7</v>
      </c>
      <c r="V37" s="4">
        <v>100</v>
      </c>
      <c r="W37" s="3"/>
      <c r="X37" s="3"/>
      <c r="Y37" s="5">
        <v>45233</v>
      </c>
      <c r="Z37" s="5">
        <v>45408</v>
      </c>
      <c r="AA37" s="5">
        <v>45427</v>
      </c>
      <c r="AB37" s="6">
        <v>45427</v>
      </c>
      <c r="AC37" s="5">
        <v>45440</v>
      </c>
      <c r="AD37" s="5">
        <v>45900</v>
      </c>
      <c r="AE37" s="5">
        <v>45968</v>
      </c>
      <c r="AF37" s="5">
        <v>46157</v>
      </c>
      <c r="AG37" s="3" t="s">
        <v>299</v>
      </c>
      <c r="AH37" s="3" t="s">
        <v>300</v>
      </c>
      <c r="AI37" s="5">
        <v>46155</v>
      </c>
      <c r="AJ37" s="3"/>
      <c r="AK37" s="3"/>
      <c r="AL37" s="3"/>
      <c r="AM37" s="3" t="str">
        <f t="shared" si="7"/>
        <v/>
      </c>
      <c r="AN37" s="3" t="str">
        <f t="shared" si="8"/>
        <v/>
      </c>
      <c r="AO37" s="3">
        <f t="shared" si="9"/>
        <v>100</v>
      </c>
      <c r="AP37" s="3">
        <f t="shared" si="10"/>
        <v>100</v>
      </c>
      <c r="AQ37" s="3">
        <v>1</v>
      </c>
      <c r="AR37" s="3"/>
      <c r="AS37" s="3">
        <f t="shared" si="11"/>
        <v>0</v>
      </c>
      <c r="AT37" s="4">
        <v>100</v>
      </c>
      <c r="AU37" s="3">
        <f t="shared" si="12"/>
        <v>90</v>
      </c>
      <c r="AV37" s="3" t="str">
        <f t="shared" si="13"/>
        <v/>
      </c>
      <c r="AW37" s="3" t="s">
        <v>301</v>
      </c>
    </row>
    <row r="38" spans="1:49" ht="70.05" customHeight="1" x14ac:dyDescent="0.3">
      <c r="A38" s="3" t="s">
        <v>302</v>
      </c>
      <c r="B38" s="3" t="s">
        <v>90</v>
      </c>
      <c r="C38" s="3" t="s">
        <v>303</v>
      </c>
      <c r="D38" s="3" t="s">
        <v>304</v>
      </c>
      <c r="E38" s="3" t="s">
        <v>213</v>
      </c>
      <c r="F38" s="3" t="s">
        <v>305</v>
      </c>
      <c r="G38" s="3" t="s">
        <v>85</v>
      </c>
      <c r="H38" s="3" t="s">
        <v>86</v>
      </c>
      <c r="I38" s="3" t="s">
        <v>95</v>
      </c>
      <c r="J38" s="3" t="s">
        <v>306</v>
      </c>
      <c r="K38" s="4">
        <v>10877971203</v>
      </c>
      <c r="L38" s="4">
        <v>0</v>
      </c>
      <c r="M38" s="4">
        <v>0</v>
      </c>
      <c r="N38" s="4">
        <v>0</v>
      </c>
      <c r="O38" s="4">
        <v>10877971203</v>
      </c>
      <c r="P38" s="4">
        <v>7045786431.6599998</v>
      </c>
      <c r="Q38" s="5">
        <v>46072</v>
      </c>
      <c r="R38" s="5">
        <v>45301</v>
      </c>
      <c r="S38" s="5">
        <v>45291</v>
      </c>
      <c r="T38" s="5">
        <v>45290</v>
      </c>
      <c r="U38" s="4">
        <v>58.95</v>
      </c>
      <c r="V38" s="4">
        <v>64.77</v>
      </c>
      <c r="W38" s="3">
        <v>1</v>
      </c>
      <c r="X38" s="3">
        <v>0.7</v>
      </c>
      <c r="Y38" s="5">
        <v>45290</v>
      </c>
      <c r="Z38" s="5">
        <v>45411</v>
      </c>
      <c r="AA38" s="5">
        <v>45573</v>
      </c>
      <c r="AB38" s="6">
        <v>45573</v>
      </c>
      <c r="AC38" s="5">
        <v>45616</v>
      </c>
      <c r="AD38" s="5">
        <v>46177</v>
      </c>
      <c r="AE38" s="5"/>
      <c r="AF38" s="5">
        <v>46157</v>
      </c>
      <c r="AG38" s="3" t="s">
        <v>292</v>
      </c>
      <c r="AH38" s="3" t="s">
        <v>307</v>
      </c>
      <c r="AI38" s="5">
        <v>46152</v>
      </c>
      <c r="AJ38" s="3"/>
      <c r="AK38" s="3"/>
      <c r="AL38" s="3"/>
      <c r="AM38" s="3">
        <f t="shared" si="7"/>
        <v>69.565217391304344</v>
      </c>
      <c r="AN38" s="3">
        <f t="shared" si="8"/>
        <v>100</v>
      </c>
      <c r="AO38" s="3">
        <f t="shared" si="9"/>
        <v>100</v>
      </c>
      <c r="AP38" s="3">
        <f t="shared" si="10"/>
        <v>100</v>
      </c>
      <c r="AQ38" s="3">
        <v>1</v>
      </c>
      <c r="AR38" s="3"/>
      <c r="AS38" s="3">
        <f t="shared" si="11"/>
        <v>100</v>
      </c>
      <c r="AT38" s="4">
        <v>100</v>
      </c>
      <c r="AU38" s="3">
        <f t="shared" si="12"/>
        <v>90</v>
      </c>
      <c r="AV38" s="3">
        <f t="shared" si="13"/>
        <v>79.043478260869563</v>
      </c>
      <c r="AW38" s="3" t="s">
        <v>308</v>
      </c>
    </row>
    <row r="39" spans="1:49" ht="70.05" customHeight="1" x14ac:dyDescent="0.3">
      <c r="A39" s="3" t="s">
        <v>309</v>
      </c>
      <c r="B39" s="3" t="s">
        <v>81</v>
      </c>
      <c r="C39" s="3" t="s">
        <v>310</v>
      </c>
      <c r="D39" s="3" t="s">
        <v>311</v>
      </c>
      <c r="E39" s="3" t="s">
        <v>286</v>
      </c>
      <c r="F39" s="3" t="s">
        <v>312</v>
      </c>
      <c r="G39" s="3" t="s">
        <v>56</v>
      </c>
      <c r="H39" s="3" t="s">
        <v>86</v>
      </c>
      <c r="I39" s="3" t="s">
        <v>161</v>
      </c>
      <c r="J39" s="3" t="s">
        <v>313</v>
      </c>
      <c r="K39" s="4">
        <v>20000000000</v>
      </c>
      <c r="L39" s="4">
        <v>0</v>
      </c>
      <c r="M39" s="4">
        <v>5812601822.2700005</v>
      </c>
      <c r="N39" s="4">
        <v>0</v>
      </c>
      <c r="O39" s="4">
        <v>25812601822.27</v>
      </c>
      <c r="P39" s="4">
        <v>19985101937.880001</v>
      </c>
      <c r="Q39" s="5">
        <v>45656</v>
      </c>
      <c r="R39" s="5">
        <v>45332</v>
      </c>
      <c r="S39" s="5">
        <v>45330</v>
      </c>
      <c r="T39" s="5">
        <v>45470</v>
      </c>
      <c r="U39" s="4">
        <v>96.54</v>
      </c>
      <c r="V39" s="4">
        <v>77.42</v>
      </c>
      <c r="W39" s="3"/>
      <c r="X39" s="3"/>
      <c r="Y39" s="5">
        <v>45329</v>
      </c>
      <c r="Z39" s="5">
        <v>45575</v>
      </c>
      <c r="AA39" s="5">
        <v>45575</v>
      </c>
      <c r="AB39" s="6">
        <v>45575</v>
      </c>
      <c r="AC39" s="5">
        <v>45580</v>
      </c>
      <c r="AD39" s="5">
        <v>45656</v>
      </c>
      <c r="AE39" s="5">
        <v>45656</v>
      </c>
      <c r="AF39" s="5">
        <v>46157</v>
      </c>
      <c r="AG39" s="3" t="s">
        <v>314</v>
      </c>
      <c r="AH39" s="3" t="s">
        <v>61</v>
      </c>
      <c r="AI39" s="5">
        <v>46157</v>
      </c>
      <c r="AJ39" s="3"/>
      <c r="AK39" s="3"/>
      <c r="AL39" s="3"/>
      <c r="AM39" s="3" t="str">
        <f t="shared" si="7"/>
        <v/>
      </c>
      <c r="AN39" s="3" t="str">
        <f t="shared" si="8"/>
        <v/>
      </c>
      <c r="AO39" s="3">
        <f t="shared" si="9"/>
        <v>100</v>
      </c>
      <c r="AP39" s="3" t="str">
        <f t="shared" si="10"/>
        <v/>
      </c>
      <c r="AQ39" s="3">
        <v>1</v>
      </c>
      <c r="AR39" s="3"/>
      <c r="AS39" s="3">
        <f t="shared" si="11"/>
        <v>0</v>
      </c>
      <c r="AT39" s="4">
        <v>0</v>
      </c>
      <c r="AU39" s="3">
        <f t="shared" si="12"/>
        <v>90</v>
      </c>
      <c r="AV39" s="3" t="str">
        <f t="shared" si="13"/>
        <v/>
      </c>
      <c r="AW39" s="3" t="s">
        <v>315</v>
      </c>
    </row>
    <row r="40" spans="1:49" ht="70.05" customHeight="1" x14ac:dyDescent="0.3">
      <c r="A40" s="3" t="s">
        <v>316</v>
      </c>
      <c r="B40" s="3" t="s">
        <v>90</v>
      </c>
      <c r="C40" s="3" t="s">
        <v>317</v>
      </c>
      <c r="D40" s="3" t="s">
        <v>318</v>
      </c>
      <c r="E40" s="3" t="s">
        <v>280</v>
      </c>
      <c r="F40" s="3" t="s">
        <v>319</v>
      </c>
      <c r="G40" s="3" t="s">
        <v>85</v>
      </c>
      <c r="H40" s="3" t="s">
        <v>86</v>
      </c>
      <c r="I40" s="3" t="s">
        <v>58</v>
      </c>
      <c r="J40" s="3" t="s">
        <v>96</v>
      </c>
      <c r="K40" s="4">
        <v>2401226400</v>
      </c>
      <c r="L40" s="4">
        <v>0</v>
      </c>
      <c r="M40" s="4">
        <v>0</v>
      </c>
      <c r="N40" s="4">
        <v>0</v>
      </c>
      <c r="O40" s="4">
        <v>2401226400</v>
      </c>
      <c r="P40" s="4">
        <v>1505440058</v>
      </c>
      <c r="Q40" s="5">
        <v>46136</v>
      </c>
      <c r="R40" s="5">
        <v>45759</v>
      </c>
      <c r="S40" s="5">
        <v>45757</v>
      </c>
      <c r="T40" s="5">
        <v>45770</v>
      </c>
      <c r="U40" s="4">
        <v>49.92</v>
      </c>
      <c r="V40" s="4">
        <v>62.69</v>
      </c>
      <c r="W40" s="3">
        <v>1</v>
      </c>
      <c r="X40" s="3">
        <v>0.69</v>
      </c>
      <c r="Y40" s="5">
        <v>45756</v>
      </c>
      <c r="Z40" s="5">
        <v>45917</v>
      </c>
      <c r="AA40" s="5">
        <v>45994</v>
      </c>
      <c r="AB40" s="6">
        <v>45994</v>
      </c>
      <c r="AC40" s="5">
        <v>46006</v>
      </c>
      <c r="AD40" s="5">
        <v>46198</v>
      </c>
      <c r="AE40" s="5"/>
      <c r="AF40" s="5">
        <v>46157</v>
      </c>
      <c r="AG40" s="3" t="s">
        <v>320</v>
      </c>
      <c r="AH40" s="3" t="s">
        <v>321</v>
      </c>
      <c r="AI40" s="5">
        <v>46152</v>
      </c>
      <c r="AJ40" s="3"/>
      <c r="AK40" s="3"/>
      <c r="AL40" s="3"/>
      <c r="AM40" s="3">
        <f t="shared" si="7"/>
        <v>67.391304347826079</v>
      </c>
      <c r="AN40" s="3">
        <f t="shared" si="8"/>
        <v>100</v>
      </c>
      <c r="AO40" s="3">
        <f t="shared" si="9"/>
        <v>100</v>
      </c>
      <c r="AP40" s="3">
        <f t="shared" si="10"/>
        <v>100</v>
      </c>
      <c r="AQ40" s="3">
        <v>0</v>
      </c>
      <c r="AR40" s="3"/>
      <c r="AS40" s="3">
        <f t="shared" si="11"/>
        <v>100</v>
      </c>
      <c r="AT40" s="4">
        <v>100</v>
      </c>
      <c r="AU40" s="3">
        <f t="shared" si="12"/>
        <v>100</v>
      </c>
      <c r="AV40" s="3">
        <f t="shared" si="13"/>
        <v>86.956521739130437</v>
      </c>
      <c r="AW40" s="3" t="s">
        <v>322</v>
      </c>
    </row>
    <row r="41" spans="1:49" ht="70.05" customHeight="1" x14ac:dyDescent="0.3">
      <c r="A41" s="3" t="s">
        <v>323</v>
      </c>
      <c r="B41" s="3" t="s">
        <v>269</v>
      </c>
      <c r="C41" s="3" t="s">
        <v>324</v>
      </c>
      <c r="D41" s="3" t="s">
        <v>325</v>
      </c>
      <c r="E41" s="3" t="s">
        <v>272</v>
      </c>
      <c r="F41" s="3" t="s">
        <v>326</v>
      </c>
      <c r="G41" s="3" t="s">
        <v>85</v>
      </c>
      <c r="H41" s="3" t="s">
        <v>86</v>
      </c>
      <c r="I41" s="3" t="s">
        <v>69</v>
      </c>
      <c r="J41" s="3" t="s">
        <v>216</v>
      </c>
      <c r="K41" s="4">
        <v>1207242704</v>
      </c>
      <c r="L41" s="4">
        <v>0</v>
      </c>
      <c r="M41" s="4">
        <v>219361128</v>
      </c>
      <c r="N41" s="4">
        <v>0</v>
      </c>
      <c r="O41" s="4">
        <v>1426603832</v>
      </c>
      <c r="P41" s="4">
        <v>1174484084</v>
      </c>
      <c r="Q41" s="5">
        <v>46164</v>
      </c>
      <c r="R41" s="5">
        <v>45590</v>
      </c>
      <c r="S41" s="5">
        <v>45583</v>
      </c>
      <c r="T41" s="5">
        <v>45636</v>
      </c>
      <c r="U41" s="4">
        <v>99.87</v>
      </c>
      <c r="V41" s="4">
        <v>82.33</v>
      </c>
      <c r="W41" s="3">
        <v>1</v>
      </c>
      <c r="X41" s="3">
        <v>1</v>
      </c>
      <c r="Y41" s="5">
        <v>45582</v>
      </c>
      <c r="Z41" s="5">
        <v>45754</v>
      </c>
      <c r="AA41" s="5">
        <v>45762</v>
      </c>
      <c r="AB41" s="6">
        <v>45762</v>
      </c>
      <c r="AC41" s="5">
        <v>45793</v>
      </c>
      <c r="AD41" s="5">
        <v>46127</v>
      </c>
      <c r="AE41" s="5"/>
      <c r="AF41" s="5">
        <v>46157</v>
      </c>
      <c r="AG41" s="3" t="s">
        <v>327</v>
      </c>
      <c r="AH41" s="3" t="s">
        <v>328</v>
      </c>
      <c r="AI41" s="5">
        <v>46152</v>
      </c>
      <c r="AJ41" s="3"/>
      <c r="AK41" s="3"/>
      <c r="AL41" s="3"/>
      <c r="AM41" s="3">
        <f t="shared" si="7"/>
        <v>100</v>
      </c>
      <c r="AN41" s="3">
        <f t="shared" si="8"/>
        <v>100</v>
      </c>
      <c r="AO41" s="3">
        <f t="shared" si="9"/>
        <v>100</v>
      </c>
      <c r="AP41" s="3">
        <f t="shared" si="10"/>
        <v>100</v>
      </c>
      <c r="AQ41" s="3">
        <v>2</v>
      </c>
      <c r="AR41" s="3"/>
      <c r="AS41" s="3">
        <f t="shared" si="11"/>
        <v>100</v>
      </c>
      <c r="AT41" s="4">
        <v>100</v>
      </c>
      <c r="AU41" s="3">
        <f t="shared" si="12"/>
        <v>75</v>
      </c>
      <c r="AV41" s="3">
        <f t="shared" si="13"/>
        <v>75</v>
      </c>
      <c r="AW41" s="3" t="s">
        <v>329</v>
      </c>
    </row>
    <row r="42" spans="1:49" ht="70.05" customHeight="1" x14ac:dyDescent="0.3">
      <c r="A42" s="3" t="s">
        <v>330</v>
      </c>
      <c r="B42" s="3" t="s">
        <v>269</v>
      </c>
      <c r="C42" s="3" t="s">
        <v>331</v>
      </c>
      <c r="D42" s="3" t="s">
        <v>332</v>
      </c>
      <c r="E42" s="3" t="s">
        <v>272</v>
      </c>
      <c r="F42" s="3" t="s">
        <v>326</v>
      </c>
      <c r="G42" s="3" t="s">
        <v>85</v>
      </c>
      <c r="H42" s="3" t="s">
        <v>86</v>
      </c>
      <c r="I42" s="3" t="s">
        <v>69</v>
      </c>
      <c r="J42" s="3" t="s">
        <v>96</v>
      </c>
      <c r="K42" s="4">
        <v>7025611116</v>
      </c>
      <c r="L42" s="4">
        <v>0</v>
      </c>
      <c r="M42" s="4">
        <v>633276980</v>
      </c>
      <c r="N42" s="4">
        <v>0</v>
      </c>
      <c r="O42" s="4">
        <v>7658888096</v>
      </c>
      <c r="P42" s="4">
        <v>5025356915.3999996</v>
      </c>
      <c r="Q42" s="5">
        <v>46170</v>
      </c>
      <c r="R42" s="5">
        <v>45674</v>
      </c>
      <c r="S42" s="5">
        <v>45649</v>
      </c>
      <c r="T42" s="5">
        <v>45649</v>
      </c>
      <c r="U42" s="4">
        <v>72.7</v>
      </c>
      <c r="V42" s="4">
        <v>65.61</v>
      </c>
      <c r="W42" s="3">
        <v>1</v>
      </c>
      <c r="X42" s="3">
        <v>0.84</v>
      </c>
      <c r="Y42" s="5">
        <v>45649</v>
      </c>
      <c r="Z42" s="5"/>
      <c r="AA42" s="5">
        <v>45813</v>
      </c>
      <c r="AB42" s="6">
        <v>45813</v>
      </c>
      <c r="AC42" s="5">
        <v>45869</v>
      </c>
      <c r="AD42" s="5">
        <v>46234</v>
      </c>
      <c r="AE42" s="5"/>
      <c r="AF42" s="5">
        <v>46157</v>
      </c>
      <c r="AG42" s="3" t="s">
        <v>333</v>
      </c>
      <c r="AH42" s="3" t="s">
        <v>334</v>
      </c>
      <c r="AI42" s="5">
        <v>46152</v>
      </c>
      <c r="AJ42" s="3"/>
      <c r="AK42" s="3"/>
      <c r="AL42" s="3"/>
      <c r="AM42" s="3">
        <f t="shared" si="7"/>
        <v>100</v>
      </c>
      <c r="AN42" s="3">
        <f t="shared" si="8"/>
        <v>100</v>
      </c>
      <c r="AO42" s="3">
        <f t="shared" si="9"/>
        <v>100</v>
      </c>
      <c r="AP42" s="3">
        <f t="shared" si="10"/>
        <v>100</v>
      </c>
      <c r="AQ42" s="3">
        <v>0</v>
      </c>
      <c r="AR42" s="3"/>
      <c r="AS42" s="3">
        <f t="shared" si="11"/>
        <v>100</v>
      </c>
      <c r="AT42" s="4">
        <v>100</v>
      </c>
      <c r="AU42" s="3">
        <f t="shared" si="12"/>
        <v>100</v>
      </c>
      <c r="AV42" s="3">
        <f t="shared" si="13"/>
        <v>100</v>
      </c>
      <c r="AW42" s="3" t="s">
        <v>335</v>
      </c>
    </row>
    <row r="43" spans="1:49" ht="70.05" customHeight="1" x14ac:dyDescent="0.3">
      <c r="A43" s="3" t="s">
        <v>336</v>
      </c>
      <c r="B43" s="3" t="s">
        <v>73</v>
      </c>
      <c r="C43" s="3" t="s">
        <v>337</v>
      </c>
      <c r="D43" s="3" t="s">
        <v>338</v>
      </c>
      <c r="E43" s="3" t="s">
        <v>137</v>
      </c>
      <c r="F43" s="3" t="s">
        <v>339</v>
      </c>
      <c r="G43" s="3" t="s">
        <v>340</v>
      </c>
      <c r="H43" s="3"/>
      <c r="I43" s="3"/>
      <c r="J43" s="3" t="s">
        <v>96</v>
      </c>
      <c r="K43" s="4">
        <v>2942601333.2800002</v>
      </c>
      <c r="L43" s="4">
        <v>0</v>
      </c>
      <c r="M43" s="4">
        <v>0</v>
      </c>
      <c r="N43" s="4">
        <v>0</v>
      </c>
      <c r="O43" s="4">
        <v>2942601333.2800002</v>
      </c>
      <c r="P43" s="4">
        <v>0</v>
      </c>
      <c r="Q43" s="5"/>
      <c r="R43" s="5">
        <v>45619</v>
      </c>
      <c r="S43" s="5">
        <v>45616</v>
      </c>
      <c r="T43" s="5">
        <v>45622</v>
      </c>
      <c r="U43" s="4">
        <v>0</v>
      </c>
      <c r="V43" s="4">
        <v>0</v>
      </c>
      <c r="W43" s="3"/>
      <c r="X43" s="3"/>
      <c r="Y43" s="5">
        <v>45615</v>
      </c>
      <c r="Z43" s="5">
        <v>46086</v>
      </c>
      <c r="AA43" s="5"/>
      <c r="AB43" s="6"/>
      <c r="AC43" s="5"/>
      <c r="AD43" s="5"/>
      <c r="AE43" s="5"/>
      <c r="AF43" s="5">
        <v>46157</v>
      </c>
      <c r="AG43" s="3" t="s">
        <v>341</v>
      </c>
      <c r="AH43" s="3" t="s">
        <v>342</v>
      </c>
      <c r="AI43" s="5">
        <v>46152</v>
      </c>
      <c r="AJ43" s="3">
        <v>542</v>
      </c>
      <c r="AK43" s="3"/>
      <c r="AL43" s="3"/>
      <c r="AM43" s="3" t="str">
        <f t="shared" si="7"/>
        <v/>
      </c>
      <c r="AN43" s="3" t="str">
        <f t="shared" si="8"/>
        <v/>
      </c>
      <c r="AO43" s="3">
        <f t="shared" si="9"/>
        <v>100</v>
      </c>
      <c r="AP43" s="3" t="str">
        <f t="shared" si="10"/>
        <v/>
      </c>
      <c r="AQ43" s="3">
        <v>0</v>
      </c>
      <c r="AR43" s="3">
        <v>100</v>
      </c>
      <c r="AS43" s="3">
        <f t="shared" si="11"/>
        <v>100</v>
      </c>
      <c r="AT43" s="4">
        <v>100</v>
      </c>
      <c r="AU43" s="3">
        <f t="shared" si="12"/>
        <v>100</v>
      </c>
      <c r="AV43" s="3" t="str">
        <f t="shared" si="13"/>
        <v/>
      </c>
      <c r="AW43" s="3" t="s">
        <v>343</v>
      </c>
    </row>
    <row r="44" spans="1:49" ht="70.05" customHeight="1" x14ac:dyDescent="0.3">
      <c r="A44" s="3" t="s">
        <v>344</v>
      </c>
      <c r="B44" s="3" t="s">
        <v>269</v>
      </c>
      <c r="C44" s="3" t="s">
        <v>345</v>
      </c>
      <c r="D44" s="3" t="s">
        <v>346</v>
      </c>
      <c r="E44" s="3" t="s">
        <v>272</v>
      </c>
      <c r="F44" s="3" t="s">
        <v>347</v>
      </c>
      <c r="G44" s="3" t="s">
        <v>85</v>
      </c>
      <c r="H44" s="3" t="s">
        <v>227</v>
      </c>
      <c r="I44" s="3" t="s">
        <v>95</v>
      </c>
      <c r="J44" s="3" t="s">
        <v>216</v>
      </c>
      <c r="K44" s="4">
        <v>689677427</v>
      </c>
      <c r="L44" s="4">
        <v>0</v>
      </c>
      <c r="M44" s="4">
        <v>0</v>
      </c>
      <c r="N44" s="4">
        <v>0</v>
      </c>
      <c r="O44" s="4">
        <v>689677427</v>
      </c>
      <c r="P44" s="4">
        <v>492278062.80000001</v>
      </c>
      <c r="Q44" s="5">
        <v>46148</v>
      </c>
      <c r="R44" s="5">
        <v>45634</v>
      </c>
      <c r="S44" s="5">
        <v>45633</v>
      </c>
      <c r="T44" s="5">
        <v>45637</v>
      </c>
      <c r="U44" s="4">
        <v>69.33</v>
      </c>
      <c r="V44" s="4">
        <v>71.38</v>
      </c>
      <c r="W44" s="3">
        <v>0</v>
      </c>
      <c r="X44" s="3">
        <v>0</v>
      </c>
      <c r="Y44" s="5">
        <v>45632</v>
      </c>
      <c r="Z44" s="5">
        <v>45803</v>
      </c>
      <c r="AA44" s="5">
        <v>45903</v>
      </c>
      <c r="AB44" s="6">
        <v>45903</v>
      </c>
      <c r="AC44" s="5">
        <v>45911</v>
      </c>
      <c r="AD44" s="5">
        <v>46077</v>
      </c>
      <c r="AE44" s="5"/>
      <c r="AF44" s="5">
        <v>46157</v>
      </c>
      <c r="AG44" s="3" t="s">
        <v>348</v>
      </c>
      <c r="AH44" s="3" t="s">
        <v>349</v>
      </c>
      <c r="AI44" s="5">
        <v>46152</v>
      </c>
      <c r="AJ44" s="3"/>
      <c r="AK44" s="3"/>
      <c r="AL44" s="3"/>
      <c r="AM44" s="3">
        <f t="shared" si="7"/>
        <v>0</v>
      </c>
      <c r="AN44" s="3">
        <f t="shared" si="8"/>
        <v>0</v>
      </c>
      <c r="AO44" s="3">
        <f t="shared" si="9"/>
        <v>100</v>
      </c>
      <c r="AP44" s="3">
        <f t="shared" si="10"/>
        <v>100</v>
      </c>
      <c r="AQ44" s="3">
        <v>1</v>
      </c>
      <c r="AR44" s="3"/>
      <c r="AS44" s="3">
        <f t="shared" si="11"/>
        <v>100</v>
      </c>
      <c r="AT44" s="4">
        <v>100</v>
      </c>
      <c r="AU44" s="3">
        <f t="shared" si="12"/>
        <v>90</v>
      </c>
      <c r="AV44" s="3">
        <f t="shared" si="13"/>
        <v>36</v>
      </c>
      <c r="AW44" s="3" t="s">
        <v>350</v>
      </c>
    </row>
    <row r="45" spans="1:49" ht="70.05" customHeight="1" x14ac:dyDescent="0.3">
      <c r="A45" s="3" t="s">
        <v>351</v>
      </c>
      <c r="B45" s="3" t="s">
        <v>90</v>
      </c>
      <c r="C45" s="3" t="s">
        <v>352</v>
      </c>
      <c r="D45" s="3" t="s">
        <v>353</v>
      </c>
      <c r="E45" s="3" t="s">
        <v>354</v>
      </c>
      <c r="F45" s="3" t="s">
        <v>355</v>
      </c>
      <c r="G45" s="3" t="s">
        <v>85</v>
      </c>
      <c r="H45" s="3" t="s">
        <v>86</v>
      </c>
      <c r="I45" s="3" t="s">
        <v>356</v>
      </c>
      <c r="J45" s="3" t="s">
        <v>357</v>
      </c>
      <c r="K45" s="4">
        <v>1135083847</v>
      </c>
      <c r="L45" s="4">
        <v>10000000000</v>
      </c>
      <c r="M45" s="4">
        <v>0</v>
      </c>
      <c r="N45" s="4">
        <v>0</v>
      </c>
      <c r="O45" s="4">
        <v>11135083847</v>
      </c>
      <c r="P45" s="4">
        <v>211010310</v>
      </c>
      <c r="Q45" s="5">
        <v>45939</v>
      </c>
      <c r="R45" s="5">
        <v>45639</v>
      </c>
      <c r="S45" s="5">
        <v>45638</v>
      </c>
      <c r="T45" s="5">
        <v>45649</v>
      </c>
      <c r="U45" s="4">
        <v>1.77</v>
      </c>
      <c r="V45" s="4">
        <v>1.9</v>
      </c>
      <c r="W45" s="3">
        <v>1</v>
      </c>
      <c r="X45" s="3">
        <v>0.36</v>
      </c>
      <c r="Y45" s="5">
        <v>45637</v>
      </c>
      <c r="Z45" s="5"/>
      <c r="AA45" s="5">
        <v>45856</v>
      </c>
      <c r="AB45" s="6">
        <v>45806</v>
      </c>
      <c r="AC45" s="5">
        <v>45860</v>
      </c>
      <c r="AD45" s="5">
        <v>46354</v>
      </c>
      <c r="AE45" s="5"/>
      <c r="AF45" s="5">
        <v>46157</v>
      </c>
      <c r="AG45" s="3" t="s">
        <v>358</v>
      </c>
      <c r="AH45" s="3" t="s">
        <v>359</v>
      </c>
      <c r="AI45" s="5">
        <v>46152</v>
      </c>
      <c r="AJ45" s="3"/>
      <c r="AK45" s="3"/>
      <c r="AL45" s="3"/>
      <c r="AM45" s="3">
        <f t="shared" si="7"/>
        <v>0</v>
      </c>
      <c r="AN45" s="3">
        <f t="shared" si="8"/>
        <v>100</v>
      </c>
      <c r="AO45" s="3">
        <f t="shared" si="9"/>
        <v>100</v>
      </c>
      <c r="AP45" s="3">
        <f t="shared" si="10"/>
        <v>100</v>
      </c>
      <c r="AQ45" s="3">
        <v>0</v>
      </c>
      <c r="AR45" s="3"/>
      <c r="AS45" s="3">
        <f t="shared" si="11"/>
        <v>100</v>
      </c>
      <c r="AT45" s="4">
        <v>100</v>
      </c>
      <c r="AU45" s="3">
        <f t="shared" si="12"/>
        <v>100</v>
      </c>
      <c r="AV45" s="3">
        <f t="shared" si="13"/>
        <v>60</v>
      </c>
      <c r="AW45" s="3" t="s">
        <v>360</v>
      </c>
    </row>
    <row r="46" spans="1:49" ht="70.05" customHeight="1" x14ac:dyDescent="0.3">
      <c r="A46" s="3" t="s">
        <v>361</v>
      </c>
      <c r="B46" s="3" t="s">
        <v>90</v>
      </c>
      <c r="C46" s="3" t="s">
        <v>362</v>
      </c>
      <c r="D46" s="3" t="s">
        <v>363</v>
      </c>
      <c r="E46" s="3" t="s">
        <v>213</v>
      </c>
      <c r="F46" s="3" t="s">
        <v>364</v>
      </c>
      <c r="G46" s="3" t="s">
        <v>365</v>
      </c>
      <c r="H46" s="3" t="s">
        <v>366</v>
      </c>
      <c r="I46" s="3" t="s">
        <v>161</v>
      </c>
      <c r="J46" s="3" t="s">
        <v>367</v>
      </c>
      <c r="K46" s="4">
        <v>2439637568.0900002</v>
      </c>
      <c r="L46" s="4">
        <v>0</v>
      </c>
      <c r="M46" s="4">
        <v>0</v>
      </c>
      <c r="N46" s="4">
        <v>0</v>
      </c>
      <c r="O46" s="4">
        <v>2439637568.0900002</v>
      </c>
      <c r="P46" s="4">
        <v>0</v>
      </c>
      <c r="Q46" s="5"/>
      <c r="R46" s="5">
        <v>45658</v>
      </c>
      <c r="S46" s="5">
        <v>46017</v>
      </c>
      <c r="T46" s="5">
        <v>45653</v>
      </c>
      <c r="U46" s="4">
        <v>0</v>
      </c>
      <c r="V46" s="4">
        <v>0</v>
      </c>
      <c r="W46" s="3"/>
      <c r="X46" s="3"/>
      <c r="Y46" s="5">
        <v>45650</v>
      </c>
      <c r="Z46" s="5">
        <v>45827</v>
      </c>
      <c r="AA46" s="5">
        <v>45827</v>
      </c>
      <c r="AB46" s="6">
        <v>45827</v>
      </c>
      <c r="AC46" s="5">
        <v>45827</v>
      </c>
      <c r="AD46" s="5"/>
      <c r="AE46" s="5"/>
      <c r="AF46" s="5">
        <v>46157</v>
      </c>
      <c r="AG46" s="3" t="s">
        <v>368</v>
      </c>
      <c r="AH46" s="3" t="s">
        <v>369</v>
      </c>
      <c r="AI46" s="5">
        <v>46152</v>
      </c>
      <c r="AJ46" s="3"/>
      <c r="AK46" s="3"/>
      <c r="AL46" s="3">
        <v>330</v>
      </c>
      <c r="AM46" s="3" t="str">
        <f t="shared" si="7"/>
        <v/>
      </c>
      <c r="AN46" s="3" t="str">
        <f t="shared" si="8"/>
        <v/>
      </c>
      <c r="AO46" s="3">
        <f t="shared" si="9"/>
        <v>100</v>
      </c>
      <c r="AP46" s="3" t="str">
        <f t="shared" si="10"/>
        <v/>
      </c>
      <c r="AQ46" s="3">
        <v>0</v>
      </c>
      <c r="AR46" s="3">
        <v>0</v>
      </c>
      <c r="AS46" s="3">
        <f t="shared" si="11"/>
        <v>100</v>
      </c>
      <c r="AT46" s="4">
        <v>0</v>
      </c>
      <c r="AU46" s="3">
        <f t="shared" si="12"/>
        <v>100</v>
      </c>
      <c r="AV46" s="3" t="str">
        <f t="shared" si="13"/>
        <v/>
      </c>
      <c r="AW46" s="3" t="s">
        <v>370</v>
      </c>
    </row>
    <row r="47" spans="1:49" ht="70.05" customHeight="1" x14ac:dyDescent="0.3">
      <c r="A47" s="3" t="s">
        <v>371</v>
      </c>
      <c r="B47" s="3" t="s">
        <v>73</v>
      </c>
      <c r="C47" s="3" t="s">
        <v>372</v>
      </c>
      <c r="D47" s="3" t="s">
        <v>373</v>
      </c>
      <c r="E47" s="3" t="s">
        <v>137</v>
      </c>
      <c r="F47" s="3" t="s">
        <v>374</v>
      </c>
      <c r="G47" s="3" t="s">
        <v>85</v>
      </c>
      <c r="H47" s="3" t="s">
        <v>86</v>
      </c>
      <c r="I47" s="3" t="s">
        <v>356</v>
      </c>
      <c r="J47" s="3" t="s">
        <v>96</v>
      </c>
      <c r="K47" s="4">
        <v>2653691597.3099999</v>
      </c>
      <c r="L47" s="4">
        <v>0</v>
      </c>
      <c r="M47" s="4">
        <v>929670814</v>
      </c>
      <c r="N47" s="4">
        <v>0</v>
      </c>
      <c r="O47" s="4">
        <v>3583362411.3099999</v>
      </c>
      <c r="P47" s="4">
        <v>2252913673.25</v>
      </c>
      <c r="Q47" s="5">
        <v>46164</v>
      </c>
      <c r="R47" s="5">
        <v>45658</v>
      </c>
      <c r="S47" s="5">
        <v>45652</v>
      </c>
      <c r="T47" s="5">
        <v>45653</v>
      </c>
      <c r="U47" s="4">
        <v>80.790000000000006</v>
      </c>
      <c r="V47" s="4">
        <v>80.27</v>
      </c>
      <c r="W47" s="3">
        <v>1</v>
      </c>
      <c r="X47" s="3">
        <v>0.82</v>
      </c>
      <c r="Y47" s="5">
        <v>45650</v>
      </c>
      <c r="Z47" s="5">
        <v>45798</v>
      </c>
      <c r="AA47" s="5">
        <v>45805</v>
      </c>
      <c r="AB47" s="6">
        <v>45805</v>
      </c>
      <c r="AC47" s="5">
        <v>45960</v>
      </c>
      <c r="AD47" s="5">
        <v>46139</v>
      </c>
      <c r="AE47" s="5"/>
      <c r="AF47" s="5">
        <v>46157</v>
      </c>
      <c r="AG47" s="3" t="s">
        <v>375</v>
      </c>
      <c r="AH47" s="3" t="s">
        <v>376</v>
      </c>
      <c r="AI47" s="5">
        <v>46152</v>
      </c>
      <c r="AJ47" s="3"/>
      <c r="AK47" s="3"/>
      <c r="AL47" s="3"/>
      <c r="AM47" s="3">
        <f t="shared" si="7"/>
        <v>95.65217391304347</v>
      </c>
      <c r="AN47" s="3">
        <f t="shared" si="8"/>
        <v>100</v>
      </c>
      <c r="AO47" s="3">
        <f t="shared" si="9"/>
        <v>100</v>
      </c>
      <c r="AP47" s="3">
        <f t="shared" si="10"/>
        <v>100</v>
      </c>
      <c r="AQ47" s="3">
        <v>1</v>
      </c>
      <c r="AR47" s="3"/>
      <c r="AS47" s="3">
        <f t="shared" si="11"/>
        <v>100</v>
      </c>
      <c r="AT47" s="4">
        <v>100</v>
      </c>
      <c r="AU47" s="3">
        <f t="shared" si="12"/>
        <v>90</v>
      </c>
      <c r="AV47" s="3">
        <f t="shared" si="13"/>
        <v>88.434782608695656</v>
      </c>
      <c r="AW47" s="3" t="s">
        <v>377</v>
      </c>
    </row>
    <row r="48" spans="1:49" ht="96" customHeight="1" x14ac:dyDescent="0.3">
      <c r="A48" s="3">
        <v>2024702150036</v>
      </c>
      <c r="B48" s="3" t="s">
        <v>269</v>
      </c>
      <c r="C48" s="3" t="s">
        <v>378</v>
      </c>
      <c r="D48" s="3" t="s">
        <v>914</v>
      </c>
      <c r="E48" s="3" t="s">
        <v>272</v>
      </c>
      <c r="F48" s="3" t="s">
        <v>379</v>
      </c>
      <c r="G48" s="3" t="s">
        <v>340</v>
      </c>
      <c r="H48" s="3"/>
      <c r="I48" s="3"/>
      <c r="J48" s="3" t="s">
        <v>380</v>
      </c>
      <c r="K48" s="4">
        <v>1361249394</v>
      </c>
      <c r="L48" s="4">
        <v>0</v>
      </c>
      <c r="M48" s="4">
        <v>0</v>
      </c>
      <c r="N48" s="4">
        <v>0</v>
      </c>
      <c r="O48" s="4">
        <v>1361249394</v>
      </c>
      <c r="P48" s="4">
        <v>0</v>
      </c>
      <c r="Q48" s="5"/>
      <c r="R48" s="5">
        <v>46165</v>
      </c>
      <c r="S48" s="5">
        <v>46167</v>
      </c>
      <c r="T48" s="5">
        <v>46166</v>
      </c>
      <c r="U48" s="4">
        <v>0</v>
      </c>
      <c r="V48" s="4">
        <v>0</v>
      </c>
      <c r="W48" s="3"/>
      <c r="X48" s="3"/>
      <c r="Y48" s="5">
        <v>46121</v>
      </c>
      <c r="Z48" s="5"/>
      <c r="AA48" s="5"/>
      <c r="AB48" s="6"/>
      <c r="AC48" s="5"/>
      <c r="AD48" s="5"/>
      <c r="AE48" s="5"/>
      <c r="AF48" s="5">
        <v>46157</v>
      </c>
      <c r="AG48" s="3"/>
      <c r="AH48" s="3"/>
      <c r="AI48" s="5"/>
      <c r="AJ48" s="3">
        <v>36</v>
      </c>
      <c r="AK48" s="3"/>
      <c r="AL48" s="3"/>
      <c r="AM48" s="3" t="str">
        <f t="shared" si="7"/>
        <v/>
      </c>
      <c r="AN48" s="3" t="str">
        <f t="shared" si="8"/>
        <v/>
      </c>
      <c r="AO48" s="3">
        <f t="shared" si="9"/>
        <v>100</v>
      </c>
      <c r="AP48" s="3" t="str">
        <f t="shared" si="10"/>
        <v/>
      </c>
      <c r="AQ48" s="3"/>
      <c r="AR48" s="3">
        <v>100</v>
      </c>
      <c r="AS48" s="3" t="str">
        <f t="shared" si="11"/>
        <v/>
      </c>
      <c r="AT48" s="4"/>
      <c r="AU48" s="3">
        <f t="shared" si="12"/>
        <v>100</v>
      </c>
      <c r="AV48" s="3" t="str">
        <f t="shared" si="13"/>
        <v/>
      </c>
      <c r="AW48" s="3" t="s">
        <v>381</v>
      </c>
    </row>
    <row r="49" spans="1:49" ht="70.05" customHeight="1" x14ac:dyDescent="0.3">
      <c r="A49" s="3" t="s">
        <v>382</v>
      </c>
      <c r="B49" s="3" t="s">
        <v>90</v>
      </c>
      <c r="C49" s="3" t="s">
        <v>383</v>
      </c>
      <c r="D49" s="3" t="s">
        <v>384</v>
      </c>
      <c r="E49" s="3" t="s">
        <v>93</v>
      </c>
      <c r="F49" s="3" t="s">
        <v>385</v>
      </c>
      <c r="G49" s="3" t="s">
        <v>340</v>
      </c>
      <c r="H49" s="3"/>
      <c r="I49" s="3"/>
      <c r="J49" s="3" t="s">
        <v>167</v>
      </c>
      <c r="K49" s="4">
        <v>39069417997</v>
      </c>
      <c r="L49" s="4">
        <v>0</v>
      </c>
      <c r="M49" s="4">
        <v>0</v>
      </c>
      <c r="N49" s="4">
        <v>0</v>
      </c>
      <c r="O49" s="4">
        <v>39069417997</v>
      </c>
      <c r="P49" s="4">
        <v>0</v>
      </c>
      <c r="Q49" s="5"/>
      <c r="R49" s="5"/>
      <c r="S49" s="5">
        <v>46094</v>
      </c>
      <c r="T49" s="5">
        <v>46125</v>
      </c>
      <c r="U49" s="4">
        <v>0</v>
      </c>
      <c r="V49" s="4">
        <v>0</v>
      </c>
      <c r="W49" s="3"/>
      <c r="X49" s="3"/>
      <c r="Y49" s="5">
        <v>46093</v>
      </c>
      <c r="Z49" s="5"/>
      <c r="AA49" s="5"/>
      <c r="AB49" s="6"/>
      <c r="AC49" s="5"/>
      <c r="AD49" s="5"/>
      <c r="AE49" s="5"/>
      <c r="AF49" s="5">
        <v>46157</v>
      </c>
      <c r="AG49" s="3" t="s">
        <v>386</v>
      </c>
      <c r="AH49" s="3" t="s">
        <v>387</v>
      </c>
      <c r="AI49" s="5">
        <v>46152</v>
      </c>
      <c r="AJ49" s="3">
        <v>64</v>
      </c>
      <c r="AK49" s="3"/>
      <c r="AL49" s="3"/>
      <c r="AM49" s="3" t="str">
        <f t="shared" si="7"/>
        <v/>
      </c>
      <c r="AN49" s="3" t="str">
        <f t="shared" si="8"/>
        <v/>
      </c>
      <c r="AO49" s="3">
        <f t="shared" si="9"/>
        <v>100</v>
      </c>
      <c r="AP49" s="3" t="str">
        <f t="shared" si="10"/>
        <v/>
      </c>
      <c r="AQ49" s="3"/>
      <c r="AR49" s="3">
        <v>100</v>
      </c>
      <c r="AS49" s="3">
        <f t="shared" si="11"/>
        <v>100</v>
      </c>
      <c r="AT49" s="4">
        <v>100</v>
      </c>
      <c r="AU49" s="3">
        <f t="shared" si="12"/>
        <v>100</v>
      </c>
      <c r="AV49" s="3" t="str">
        <f t="shared" si="13"/>
        <v/>
      </c>
      <c r="AW49" s="3" t="s">
        <v>388</v>
      </c>
    </row>
    <row r="50" spans="1:49" ht="70.05" customHeight="1" x14ac:dyDescent="0.3">
      <c r="A50" s="3" t="s">
        <v>389</v>
      </c>
      <c r="B50" s="3" t="s">
        <v>81</v>
      </c>
      <c r="C50" s="3" t="s">
        <v>390</v>
      </c>
      <c r="D50" s="3" t="s">
        <v>391</v>
      </c>
      <c r="E50" s="3" t="s">
        <v>286</v>
      </c>
      <c r="F50" s="3" t="s">
        <v>392</v>
      </c>
      <c r="G50" s="3" t="s">
        <v>56</v>
      </c>
      <c r="H50" s="3" t="s">
        <v>57</v>
      </c>
      <c r="I50" s="3" t="s">
        <v>161</v>
      </c>
      <c r="J50" s="3" t="s">
        <v>393</v>
      </c>
      <c r="K50" s="4">
        <v>15884181916</v>
      </c>
      <c r="L50" s="4">
        <v>0</v>
      </c>
      <c r="M50" s="4">
        <v>0</v>
      </c>
      <c r="N50" s="4">
        <v>0</v>
      </c>
      <c r="O50" s="4">
        <v>15884181916</v>
      </c>
      <c r="P50" s="4">
        <v>6484823040.0600004</v>
      </c>
      <c r="Q50" s="5">
        <v>46017</v>
      </c>
      <c r="R50" s="5">
        <v>45893</v>
      </c>
      <c r="S50" s="5">
        <v>45889</v>
      </c>
      <c r="T50" s="5">
        <v>45903</v>
      </c>
      <c r="U50" s="4">
        <v>40.31</v>
      </c>
      <c r="V50" s="4">
        <v>40.83</v>
      </c>
      <c r="W50" s="3"/>
      <c r="X50" s="3"/>
      <c r="Y50" s="5">
        <v>45888</v>
      </c>
      <c r="Z50" s="5">
        <v>45905</v>
      </c>
      <c r="AA50" s="5">
        <v>45929</v>
      </c>
      <c r="AB50" s="6">
        <v>45929</v>
      </c>
      <c r="AC50" s="5">
        <v>45930</v>
      </c>
      <c r="AD50" s="5">
        <v>46021</v>
      </c>
      <c r="AE50" s="5">
        <v>46021</v>
      </c>
      <c r="AF50" s="5">
        <v>46157</v>
      </c>
      <c r="AG50" s="3" t="s">
        <v>394</v>
      </c>
      <c r="AH50" s="3" t="s">
        <v>61</v>
      </c>
      <c r="AI50" s="5">
        <v>46157</v>
      </c>
      <c r="AJ50" s="3"/>
      <c r="AK50" s="3"/>
      <c r="AL50" s="3"/>
      <c r="AM50" s="3" t="str">
        <f t="shared" si="7"/>
        <v/>
      </c>
      <c r="AN50" s="3" t="str">
        <f t="shared" si="8"/>
        <v/>
      </c>
      <c r="AO50" s="3">
        <f t="shared" si="9"/>
        <v>100</v>
      </c>
      <c r="AP50" s="3">
        <f t="shared" si="10"/>
        <v>100</v>
      </c>
      <c r="AQ50" s="3">
        <v>0</v>
      </c>
      <c r="AR50" s="3"/>
      <c r="AS50" s="3">
        <f t="shared" si="11"/>
        <v>0</v>
      </c>
      <c r="AT50" s="4">
        <v>0</v>
      </c>
      <c r="AU50" s="3">
        <f t="shared" si="12"/>
        <v>100</v>
      </c>
      <c r="AV50" s="3" t="str">
        <f t="shared" si="13"/>
        <v/>
      </c>
      <c r="AW50" s="3" t="s">
        <v>395</v>
      </c>
    </row>
    <row r="51" spans="1:49" ht="70.05" customHeight="1" x14ac:dyDescent="0.3">
      <c r="A51" s="3" t="s">
        <v>396</v>
      </c>
      <c r="B51" s="3" t="s">
        <v>90</v>
      </c>
      <c r="C51" s="3" t="s">
        <v>397</v>
      </c>
      <c r="D51" s="3" t="s">
        <v>398</v>
      </c>
      <c r="E51" s="3" t="s">
        <v>93</v>
      </c>
      <c r="F51" s="3" t="s">
        <v>399</v>
      </c>
      <c r="G51" s="3" t="s">
        <v>85</v>
      </c>
      <c r="H51" s="3" t="s">
        <v>86</v>
      </c>
      <c r="I51" s="3" t="s">
        <v>356</v>
      </c>
      <c r="J51" s="3" t="s">
        <v>167</v>
      </c>
      <c r="K51" s="4">
        <v>79715601771.679993</v>
      </c>
      <c r="L51" s="4">
        <v>0</v>
      </c>
      <c r="M51" s="4">
        <v>0</v>
      </c>
      <c r="N51" s="4">
        <v>0</v>
      </c>
      <c r="O51" s="4">
        <v>79715601771.679993</v>
      </c>
      <c r="P51" s="4">
        <v>27947699210.400002</v>
      </c>
      <c r="Q51" s="5">
        <v>46149</v>
      </c>
      <c r="R51" s="5">
        <v>45939</v>
      </c>
      <c r="S51" s="5">
        <v>45934</v>
      </c>
      <c r="T51" s="5">
        <v>45961</v>
      </c>
      <c r="U51" s="4">
        <v>12.38</v>
      </c>
      <c r="V51" s="4">
        <v>35.06</v>
      </c>
      <c r="W51" s="3">
        <v>1</v>
      </c>
      <c r="X51" s="3">
        <v>3.47</v>
      </c>
      <c r="Y51" s="5">
        <v>45933</v>
      </c>
      <c r="Z51" s="5"/>
      <c r="AA51" s="5">
        <v>46058</v>
      </c>
      <c r="AB51" s="6">
        <v>46058</v>
      </c>
      <c r="AC51" s="5">
        <v>46064</v>
      </c>
      <c r="AD51" s="5">
        <v>46798</v>
      </c>
      <c r="AE51" s="5"/>
      <c r="AF51" s="5">
        <v>46157</v>
      </c>
      <c r="AG51" s="3" t="s">
        <v>400</v>
      </c>
      <c r="AH51" s="3" t="s">
        <v>401</v>
      </c>
      <c r="AI51" s="5">
        <v>46152</v>
      </c>
      <c r="AJ51" s="3"/>
      <c r="AK51" s="3"/>
      <c r="AL51" s="3"/>
      <c r="AM51" s="3">
        <f t="shared" si="7"/>
        <v>0</v>
      </c>
      <c r="AN51" s="3">
        <f t="shared" si="8"/>
        <v>100</v>
      </c>
      <c r="AO51" s="3">
        <f t="shared" si="9"/>
        <v>100</v>
      </c>
      <c r="AP51" s="3">
        <f t="shared" si="10"/>
        <v>100</v>
      </c>
      <c r="AQ51" s="3">
        <v>0</v>
      </c>
      <c r="AR51" s="3"/>
      <c r="AS51" s="3">
        <f t="shared" si="11"/>
        <v>100</v>
      </c>
      <c r="AT51" s="4">
        <v>100</v>
      </c>
      <c r="AU51" s="3">
        <f t="shared" si="12"/>
        <v>100</v>
      </c>
      <c r="AV51" s="3">
        <f t="shared" si="13"/>
        <v>60</v>
      </c>
      <c r="AW51" s="3" t="s">
        <v>402</v>
      </c>
    </row>
    <row r="52" spans="1:49" ht="70.05" customHeight="1" x14ac:dyDescent="0.3">
      <c r="A52" s="3" t="s">
        <v>403</v>
      </c>
      <c r="B52" s="3" t="s">
        <v>90</v>
      </c>
      <c r="C52" s="3" t="s">
        <v>404</v>
      </c>
      <c r="D52" s="3" t="s">
        <v>405</v>
      </c>
      <c r="E52" s="3" t="s">
        <v>280</v>
      </c>
      <c r="F52" s="3" t="s">
        <v>319</v>
      </c>
      <c r="G52" s="3" t="s">
        <v>85</v>
      </c>
      <c r="H52" s="3" t="s">
        <v>86</v>
      </c>
      <c r="I52" s="3" t="s">
        <v>58</v>
      </c>
      <c r="J52" s="3" t="s">
        <v>96</v>
      </c>
      <c r="K52" s="4">
        <v>1000000435</v>
      </c>
      <c r="L52" s="4">
        <v>0</v>
      </c>
      <c r="M52" s="4">
        <v>0</v>
      </c>
      <c r="N52" s="4">
        <v>0</v>
      </c>
      <c r="O52" s="4">
        <v>1000000435</v>
      </c>
      <c r="P52" s="4">
        <v>414380180.25999999</v>
      </c>
      <c r="Q52" s="5">
        <v>46170</v>
      </c>
      <c r="R52" s="5">
        <v>45918</v>
      </c>
      <c r="S52" s="5">
        <v>45918</v>
      </c>
      <c r="T52" s="5">
        <v>45918</v>
      </c>
      <c r="U52" s="4">
        <v>70.739999999999995</v>
      </c>
      <c r="V52" s="4">
        <v>41.44</v>
      </c>
      <c r="W52" s="3">
        <v>1</v>
      </c>
      <c r="X52" s="3">
        <v>0.87</v>
      </c>
      <c r="Y52" s="5">
        <v>45912</v>
      </c>
      <c r="Z52" s="5">
        <v>45981</v>
      </c>
      <c r="AA52" s="5">
        <v>46008</v>
      </c>
      <c r="AB52" s="6">
        <v>46008</v>
      </c>
      <c r="AC52" s="5">
        <v>46009</v>
      </c>
      <c r="AD52" s="5">
        <v>46191</v>
      </c>
      <c r="AE52" s="5"/>
      <c r="AF52" s="5">
        <v>46157</v>
      </c>
      <c r="AG52" s="3" t="s">
        <v>406</v>
      </c>
      <c r="AH52" s="3" t="s">
        <v>359</v>
      </c>
      <c r="AI52" s="5">
        <v>46152</v>
      </c>
      <c r="AJ52" s="3"/>
      <c r="AK52" s="3"/>
      <c r="AL52" s="3"/>
      <c r="AM52" s="3">
        <f t="shared" si="7"/>
        <v>100</v>
      </c>
      <c r="AN52" s="3">
        <f t="shared" si="8"/>
        <v>100</v>
      </c>
      <c r="AO52" s="3">
        <f t="shared" si="9"/>
        <v>100</v>
      </c>
      <c r="AP52" s="3">
        <f t="shared" si="10"/>
        <v>100</v>
      </c>
      <c r="AQ52" s="3">
        <v>0</v>
      </c>
      <c r="AR52" s="3"/>
      <c r="AS52" s="3">
        <f t="shared" si="11"/>
        <v>100</v>
      </c>
      <c r="AT52" s="4">
        <v>100</v>
      </c>
      <c r="AU52" s="3">
        <f t="shared" si="12"/>
        <v>100</v>
      </c>
      <c r="AV52" s="3">
        <f t="shared" si="13"/>
        <v>100</v>
      </c>
      <c r="AW52" s="3" t="s">
        <v>402</v>
      </c>
    </row>
    <row r="53" spans="1:49" ht="70.05" customHeight="1" x14ac:dyDescent="0.3">
      <c r="A53" s="3" t="s">
        <v>407</v>
      </c>
      <c r="B53" s="3" t="s">
        <v>90</v>
      </c>
      <c r="C53" s="3" t="s">
        <v>408</v>
      </c>
      <c r="D53" s="3" t="s">
        <v>409</v>
      </c>
      <c r="E53" s="3" t="s">
        <v>286</v>
      </c>
      <c r="F53" s="3" t="s">
        <v>410</v>
      </c>
      <c r="G53" s="3" t="s">
        <v>365</v>
      </c>
      <c r="H53" s="3" t="s">
        <v>366</v>
      </c>
      <c r="I53" s="3" t="s">
        <v>356</v>
      </c>
      <c r="J53" s="3" t="s">
        <v>306</v>
      </c>
      <c r="K53" s="4">
        <v>910271851.27999997</v>
      </c>
      <c r="L53" s="4">
        <v>0</v>
      </c>
      <c r="M53" s="4">
        <v>0</v>
      </c>
      <c r="N53" s="4">
        <v>0</v>
      </c>
      <c r="O53" s="4">
        <v>910271851.27999997</v>
      </c>
      <c r="P53" s="4">
        <v>0</v>
      </c>
      <c r="Q53" s="5"/>
      <c r="R53" s="5">
        <v>46002</v>
      </c>
      <c r="S53" s="5">
        <v>46009</v>
      </c>
      <c r="T53" s="5">
        <v>46009</v>
      </c>
      <c r="U53" s="4">
        <v>0</v>
      </c>
      <c r="V53" s="4">
        <v>0</v>
      </c>
      <c r="W53" s="3"/>
      <c r="X53" s="3"/>
      <c r="Y53" s="5">
        <v>46000</v>
      </c>
      <c r="Z53" s="5">
        <v>46079</v>
      </c>
      <c r="AA53" s="5">
        <v>46163</v>
      </c>
      <c r="AB53" s="6">
        <v>46163</v>
      </c>
      <c r="AC53" s="5"/>
      <c r="AD53" s="5"/>
      <c r="AE53" s="5"/>
      <c r="AF53" s="5">
        <v>46163</v>
      </c>
      <c r="AG53" s="3" t="s">
        <v>411</v>
      </c>
      <c r="AH53" s="3" t="s">
        <v>412</v>
      </c>
      <c r="AI53" s="5">
        <v>46152</v>
      </c>
      <c r="AJ53" s="3"/>
      <c r="AK53" s="3"/>
      <c r="AL53" s="3">
        <v>0</v>
      </c>
      <c r="AM53" s="3" t="str">
        <f t="shared" si="7"/>
        <v/>
      </c>
      <c r="AN53" s="3" t="str">
        <f t="shared" si="8"/>
        <v/>
      </c>
      <c r="AO53" s="3">
        <f t="shared" si="9"/>
        <v>100</v>
      </c>
      <c r="AP53" s="3" t="str">
        <f t="shared" si="10"/>
        <v/>
      </c>
      <c r="AQ53" s="3">
        <v>0</v>
      </c>
      <c r="AR53" s="3">
        <v>100</v>
      </c>
      <c r="AS53" s="3">
        <f t="shared" si="11"/>
        <v>100</v>
      </c>
      <c r="AT53" s="4">
        <v>100</v>
      </c>
      <c r="AU53" s="3">
        <f t="shared" si="12"/>
        <v>100</v>
      </c>
      <c r="AV53" s="3" t="str">
        <f t="shared" si="13"/>
        <v/>
      </c>
      <c r="AW53" s="3" t="s">
        <v>413</v>
      </c>
    </row>
    <row r="54" spans="1:49" ht="70.05" customHeight="1" x14ac:dyDescent="0.3">
      <c r="A54" s="3" t="s">
        <v>414</v>
      </c>
      <c r="B54" s="3" t="s">
        <v>90</v>
      </c>
      <c r="C54" s="3" t="s">
        <v>415</v>
      </c>
      <c r="D54" s="3" t="s">
        <v>416</v>
      </c>
      <c r="E54" s="3" t="s">
        <v>93</v>
      </c>
      <c r="F54" s="3" t="s">
        <v>417</v>
      </c>
      <c r="G54" s="3" t="s">
        <v>340</v>
      </c>
      <c r="H54" s="3"/>
      <c r="I54" s="3"/>
      <c r="J54" s="3" t="s">
        <v>216</v>
      </c>
      <c r="K54" s="4">
        <v>9230360486</v>
      </c>
      <c r="L54" s="4">
        <v>0</v>
      </c>
      <c r="M54" s="4">
        <v>0</v>
      </c>
      <c r="N54" s="4">
        <v>0</v>
      </c>
      <c r="O54" s="4">
        <v>9230360486</v>
      </c>
      <c r="P54" s="4">
        <v>0</v>
      </c>
      <c r="Q54" s="5"/>
      <c r="R54" s="5"/>
      <c r="S54" s="5">
        <v>46083</v>
      </c>
      <c r="T54" s="5">
        <v>46084</v>
      </c>
      <c r="U54" s="4">
        <v>0</v>
      </c>
      <c r="V54" s="4">
        <v>0</v>
      </c>
      <c r="W54" s="3"/>
      <c r="X54" s="3"/>
      <c r="Y54" s="5">
        <v>46080</v>
      </c>
      <c r="Z54" s="5"/>
      <c r="AA54" s="5"/>
      <c r="AB54" s="6"/>
      <c r="AC54" s="5"/>
      <c r="AD54" s="5"/>
      <c r="AE54" s="5"/>
      <c r="AF54" s="5">
        <v>46157</v>
      </c>
      <c r="AG54" s="3" t="s">
        <v>418</v>
      </c>
      <c r="AH54" s="3" t="s">
        <v>419</v>
      </c>
      <c r="AI54" s="5">
        <v>46152</v>
      </c>
      <c r="AJ54" s="3">
        <v>77</v>
      </c>
      <c r="AK54" s="3"/>
      <c r="AL54" s="3"/>
      <c r="AM54" s="3" t="str">
        <f t="shared" si="7"/>
        <v/>
      </c>
      <c r="AN54" s="3" t="str">
        <f t="shared" si="8"/>
        <v/>
      </c>
      <c r="AO54" s="3">
        <f t="shared" si="9"/>
        <v>100</v>
      </c>
      <c r="AP54" s="3" t="str">
        <f t="shared" si="10"/>
        <v/>
      </c>
      <c r="AQ54" s="3">
        <v>0</v>
      </c>
      <c r="AR54" s="3">
        <v>100</v>
      </c>
      <c r="AS54" s="3">
        <f t="shared" si="11"/>
        <v>100</v>
      </c>
      <c r="AT54" s="4">
        <v>100</v>
      </c>
      <c r="AU54" s="3">
        <f t="shared" si="12"/>
        <v>100</v>
      </c>
      <c r="AV54" s="3" t="str">
        <f t="shared" si="13"/>
        <v/>
      </c>
      <c r="AW54" s="3" t="s">
        <v>420</v>
      </c>
    </row>
    <row r="55" spans="1:49" ht="70.05" customHeight="1" x14ac:dyDescent="0.3">
      <c r="A55" s="3" t="s">
        <v>421</v>
      </c>
      <c r="B55" s="3" t="s">
        <v>269</v>
      </c>
      <c r="C55" s="3" t="s">
        <v>422</v>
      </c>
      <c r="D55" s="3" t="s">
        <v>423</v>
      </c>
      <c r="E55" s="3" t="s">
        <v>272</v>
      </c>
      <c r="F55" s="3" t="s">
        <v>424</v>
      </c>
      <c r="G55" s="3" t="s">
        <v>85</v>
      </c>
      <c r="H55" s="3" t="s">
        <v>86</v>
      </c>
      <c r="I55" s="3" t="s">
        <v>58</v>
      </c>
      <c r="J55" s="3" t="s">
        <v>96</v>
      </c>
      <c r="K55" s="4">
        <v>1265672010</v>
      </c>
      <c r="L55" s="4">
        <v>0</v>
      </c>
      <c r="M55" s="4">
        <v>0</v>
      </c>
      <c r="N55" s="4">
        <v>0</v>
      </c>
      <c r="O55" s="4">
        <v>1265672010</v>
      </c>
      <c r="P55" s="4">
        <v>0</v>
      </c>
      <c r="Q55" s="5"/>
      <c r="R55" s="5">
        <v>45973</v>
      </c>
      <c r="S55" s="5">
        <v>45979</v>
      </c>
      <c r="T55" s="5">
        <v>45975</v>
      </c>
      <c r="U55" s="4">
        <v>2.83</v>
      </c>
      <c r="V55" s="4">
        <v>0</v>
      </c>
      <c r="W55" s="3">
        <v>1</v>
      </c>
      <c r="X55" s="3">
        <v>1</v>
      </c>
      <c r="Y55" s="5">
        <v>45967</v>
      </c>
      <c r="Z55" s="5">
        <v>46076</v>
      </c>
      <c r="AA55" s="5">
        <v>46094</v>
      </c>
      <c r="AB55" s="6">
        <v>46094</v>
      </c>
      <c r="AC55" s="5">
        <v>46139</v>
      </c>
      <c r="AD55" s="5">
        <v>46199</v>
      </c>
      <c r="AE55" s="5"/>
      <c r="AF55" s="5">
        <v>46157</v>
      </c>
      <c r="AG55" s="3" t="s">
        <v>425</v>
      </c>
      <c r="AH55" s="3" t="s">
        <v>426</v>
      </c>
      <c r="AI55" s="5">
        <v>46152</v>
      </c>
      <c r="AJ55" s="3"/>
      <c r="AK55" s="3"/>
      <c r="AL55" s="3"/>
      <c r="AM55" s="3">
        <f t="shared" si="7"/>
        <v>100</v>
      </c>
      <c r="AN55" s="3">
        <f t="shared" si="8"/>
        <v>100</v>
      </c>
      <c r="AO55" s="3">
        <f t="shared" si="9"/>
        <v>100</v>
      </c>
      <c r="AP55" s="3">
        <f t="shared" si="10"/>
        <v>100</v>
      </c>
      <c r="AQ55" s="3">
        <v>0</v>
      </c>
      <c r="AR55" s="3"/>
      <c r="AS55" s="3">
        <f t="shared" si="11"/>
        <v>100</v>
      </c>
      <c r="AT55" s="4">
        <v>100</v>
      </c>
      <c r="AU55" s="3">
        <f t="shared" si="12"/>
        <v>100</v>
      </c>
      <c r="AV55" s="3">
        <f t="shared" si="13"/>
        <v>100</v>
      </c>
      <c r="AW55" s="3" t="s">
        <v>427</v>
      </c>
    </row>
    <row r="56" spans="1:49" ht="70.05" customHeight="1" x14ac:dyDescent="0.3">
      <c r="A56" s="3" t="s">
        <v>428</v>
      </c>
      <c r="B56" s="3" t="s">
        <v>269</v>
      </c>
      <c r="C56" s="3" t="s">
        <v>429</v>
      </c>
      <c r="D56" s="3" t="s">
        <v>430</v>
      </c>
      <c r="E56" s="3" t="s">
        <v>272</v>
      </c>
      <c r="F56" s="3" t="s">
        <v>431</v>
      </c>
      <c r="G56" s="3" t="s">
        <v>365</v>
      </c>
      <c r="H56" s="3" t="s">
        <v>366</v>
      </c>
      <c r="I56" s="3" t="s">
        <v>356</v>
      </c>
      <c r="J56" s="3" t="s">
        <v>432</v>
      </c>
      <c r="K56" s="4">
        <v>1631281390</v>
      </c>
      <c r="L56" s="4">
        <v>0</v>
      </c>
      <c r="M56" s="4">
        <v>41120776</v>
      </c>
      <c r="N56" s="4">
        <v>0</v>
      </c>
      <c r="O56" s="4">
        <v>1672402166</v>
      </c>
      <c r="P56" s="4">
        <v>0</v>
      </c>
      <c r="Q56" s="5"/>
      <c r="R56" s="5">
        <v>45971</v>
      </c>
      <c r="S56" s="5">
        <v>46009</v>
      </c>
      <c r="T56" s="5">
        <v>45975</v>
      </c>
      <c r="U56" s="4">
        <v>0</v>
      </c>
      <c r="V56" s="4">
        <v>0</v>
      </c>
      <c r="W56" s="3"/>
      <c r="X56" s="3"/>
      <c r="Y56" s="5">
        <v>45957</v>
      </c>
      <c r="Z56" s="5">
        <v>46051</v>
      </c>
      <c r="AA56" s="5">
        <v>46057</v>
      </c>
      <c r="AB56" s="6">
        <v>46057</v>
      </c>
      <c r="AC56" s="5"/>
      <c r="AD56" s="5"/>
      <c r="AE56" s="5"/>
      <c r="AF56" s="5">
        <v>46157</v>
      </c>
      <c r="AG56" s="3" t="s">
        <v>433</v>
      </c>
      <c r="AH56" s="3" t="s">
        <v>434</v>
      </c>
      <c r="AI56" s="5">
        <v>46152</v>
      </c>
      <c r="AJ56" s="3"/>
      <c r="AK56" s="3"/>
      <c r="AL56" s="3">
        <v>100</v>
      </c>
      <c r="AM56" s="3" t="str">
        <f t="shared" si="7"/>
        <v/>
      </c>
      <c r="AN56" s="3" t="str">
        <f t="shared" si="8"/>
        <v/>
      </c>
      <c r="AO56" s="3">
        <f t="shared" si="9"/>
        <v>100</v>
      </c>
      <c r="AP56" s="3" t="str">
        <f t="shared" si="10"/>
        <v/>
      </c>
      <c r="AQ56" s="3">
        <v>0</v>
      </c>
      <c r="AR56" s="3">
        <v>0</v>
      </c>
      <c r="AS56" s="3">
        <f t="shared" si="11"/>
        <v>100</v>
      </c>
      <c r="AT56" s="4">
        <v>0</v>
      </c>
      <c r="AU56" s="3">
        <f t="shared" si="12"/>
        <v>100</v>
      </c>
      <c r="AV56" s="3" t="str">
        <f t="shared" si="13"/>
        <v/>
      </c>
      <c r="AW56" s="3" t="s">
        <v>435</v>
      </c>
    </row>
    <row r="57" spans="1:49" ht="70.05" customHeight="1" x14ac:dyDescent="0.3">
      <c r="A57" s="3" t="s">
        <v>436</v>
      </c>
      <c r="B57" s="3" t="s">
        <v>90</v>
      </c>
      <c r="C57" s="3" t="s">
        <v>437</v>
      </c>
      <c r="D57" s="3" t="s">
        <v>438</v>
      </c>
      <c r="E57" s="3" t="s">
        <v>286</v>
      </c>
      <c r="F57" s="3" t="s">
        <v>439</v>
      </c>
      <c r="G57" s="3" t="s">
        <v>340</v>
      </c>
      <c r="H57" s="3"/>
      <c r="I57" s="3"/>
      <c r="J57" s="3" t="s">
        <v>440</v>
      </c>
      <c r="K57" s="4">
        <v>2998247290</v>
      </c>
      <c r="L57" s="4">
        <v>0</v>
      </c>
      <c r="M57" s="4">
        <v>0</v>
      </c>
      <c r="N57" s="4">
        <v>0</v>
      </c>
      <c r="O57" s="4">
        <v>2998247290</v>
      </c>
      <c r="P57" s="4">
        <v>0</v>
      </c>
      <c r="Q57" s="5"/>
      <c r="R57" s="5">
        <v>45985</v>
      </c>
      <c r="S57" s="5">
        <v>45983</v>
      </c>
      <c r="T57" s="5">
        <v>45995</v>
      </c>
      <c r="U57" s="4">
        <v>0</v>
      </c>
      <c r="V57" s="4">
        <v>0</v>
      </c>
      <c r="W57" s="3"/>
      <c r="X57" s="3"/>
      <c r="Y57" s="5">
        <v>45980</v>
      </c>
      <c r="Z57" s="5">
        <v>46120</v>
      </c>
      <c r="AA57" s="5"/>
      <c r="AB57" s="6"/>
      <c r="AC57" s="5"/>
      <c r="AD57" s="5"/>
      <c r="AE57" s="5"/>
      <c r="AF57" s="5">
        <v>46157</v>
      </c>
      <c r="AG57" s="3" t="s">
        <v>441</v>
      </c>
      <c r="AH57" s="3" t="s">
        <v>442</v>
      </c>
      <c r="AI57" s="5">
        <v>46152</v>
      </c>
      <c r="AJ57" s="3">
        <v>177</v>
      </c>
      <c r="AK57" s="3"/>
      <c r="AL57" s="3"/>
      <c r="AM57" s="3" t="str">
        <f t="shared" si="7"/>
        <v/>
      </c>
      <c r="AN57" s="3" t="str">
        <f t="shared" si="8"/>
        <v/>
      </c>
      <c r="AO57" s="3">
        <f t="shared" si="9"/>
        <v>100</v>
      </c>
      <c r="AP57" s="3" t="str">
        <f t="shared" si="10"/>
        <v/>
      </c>
      <c r="AQ57" s="3">
        <v>0</v>
      </c>
      <c r="AR57" s="3">
        <v>100</v>
      </c>
      <c r="AS57" s="3">
        <f t="shared" si="11"/>
        <v>100</v>
      </c>
      <c r="AT57" s="4">
        <v>100</v>
      </c>
      <c r="AU57" s="3">
        <f t="shared" si="12"/>
        <v>100</v>
      </c>
      <c r="AV57" s="3" t="str">
        <f t="shared" si="13"/>
        <v/>
      </c>
      <c r="AW57" s="3" t="s">
        <v>443</v>
      </c>
    </row>
    <row r="58" spans="1:49" ht="123.6" customHeight="1" x14ac:dyDescent="0.3">
      <c r="A58" s="3" t="s">
        <v>444</v>
      </c>
      <c r="B58" s="3" t="s">
        <v>90</v>
      </c>
      <c r="C58" s="3" t="s">
        <v>445</v>
      </c>
      <c r="D58" s="3" t="s">
        <v>446</v>
      </c>
      <c r="E58" s="3" t="s">
        <v>213</v>
      </c>
      <c r="F58" s="3" t="s">
        <v>447</v>
      </c>
      <c r="G58" s="3" t="s">
        <v>340</v>
      </c>
      <c r="H58" s="3"/>
      <c r="I58" s="3"/>
      <c r="J58" s="3" t="s">
        <v>440</v>
      </c>
      <c r="K58" s="4">
        <v>4190286255</v>
      </c>
      <c r="L58" s="4">
        <v>0</v>
      </c>
      <c r="M58" s="4">
        <v>0</v>
      </c>
      <c r="N58" s="4">
        <v>0</v>
      </c>
      <c r="O58" s="4">
        <v>4190286255</v>
      </c>
      <c r="P58" s="4">
        <v>0</v>
      </c>
      <c r="Q58" s="5"/>
      <c r="R58" s="5"/>
      <c r="S58" s="5"/>
      <c r="T58" s="5">
        <v>46017</v>
      </c>
      <c r="U58" s="4">
        <v>0</v>
      </c>
      <c r="V58" s="4">
        <v>0</v>
      </c>
      <c r="W58" s="3"/>
      <c r="X58" s="3"/>
      <c r="Y58" s="5">
        <v>46010</v>
      </c>
      <c r="Z58" s="5">
        <v>46066</v>
      </c>
      <c r="AA58" s="5"/>
      <c r="AB58" s="6"/>
      <c r="AC58" s="5"/>
      <c r="AD58" s="5"/>
      <c r="AE58" s="5"/>
      <c r="AF58" s="5">
        <v>46157</v>
      </c>
      <c r="AG58" s="3" t="s">
        <v>441</v>
      </c>
      <c r="AH58" s="3" t="s">
        <v>448</v>
      </c>
      <c r="AI58" s="5">
        <v>46152</v>
      </c>
      <c r="AJ58" s="3">
        <v>147</v>
      </c>
      <c r="AK58" s="3"/>
      <c r="AL58" s="3"/>
      <c r="AM58" s="3" t="str">
        <f t="shared" si="7"/>
        <v/>
      </c>
      <c r="AN58" s="3" t="str">
        <f t="shared" si="8"/>
        <v/>
      </c>
      <c r="AO58" s="3">
        <f t="shared" si="9"/>
        <v>100</v>
      </c>
      <c r="AP58" s="3" t="str">
        <f t="shared" si="10"/>
        <v/>
      </c>
      <c r="AQ58" s="3">
        <v>0</v>
      </c>
      <c r="AR58" s="3">
        <v>100</v>
      </c>
      <c r="AS58" s="3">
        <f t="shared" si="11"/>
        <v>100</v>
      </c>
      <c r="AT58" s="4">
        <v>100</v>
      </c>
      <c r="AU58" s="3">
        <f t="shared" si="12"/>
        <v>100</v>
      </c>
      <c r="AV58" s="3" t="str">
        <f t="shared" si="13"/>
        <v/>
      </c>
      <c r="AW58" s="3" t="s">
        <v>449</v>
      </c>
    </row>
    <row r="59" spans="1:49" ht="135" customHeight="1" x14ac:dyDescent="0.3">
      <c r="A59" s="3" t="s">
        <v>450</v>
      </c>
      <c r="B59" s="3" t="s">
        <v>90</v>
      </c>
      <c r="C59" s="3" t="s">
        <v>451</v>
      </c>
      <c r="D59" s="3" t="s">
        <v>452</v>
      </c>
      <c r="E59" s="3" t="s">
        <v>93</v>
      </c>
      <c r="F59" s="3" t="s">
        <v>453</v>
      </c>
      <c r="G59" s="3" t="s">
        <v>340</v>
      </c>
      <c r="H59" s="3"/>
      <c r="I59" s="3"/>
      <c r="J59" s="3" t="s">
        <v>454</v>
      </c>
      <c r="K59" s="4">
        <v>15410127474</v>
      </c>
      <c r="L59" s="4">
        <v>0</v>
      </c>
      <c r="M59" s="4">
        <v>0</v>
      </c>
      <c r="N59" s="4">
        <v>0</v>
      </c>
      <c r="O59" s="4">
        <v>15410127474</v>
      </c>
      <c r="P59" s="4">
        <v>0</v>
      </c>
      <c r="Q59" s="5"/>
      <c r="R59" s="5"/>
      <c r="S59" s="5"/>
      <c r="T59" s="5">
        <v>46084</v>
      </c>
      <c r="U59" s="4">
        <v>0</v>
      </c>
      <c r="V59" s="4">
        <v>0</v>
      </c>
      <c r="W59" s="3"/>
      <c r="X59" s="3"/>
      <c r="Y59" s="5">
        <v>46080</v>
      </c>
      <c r="Z59" s="5"/>
      <c r="AA59" s="5"/>
      <c r="AB59" s="6"/>
      <c r="AC59" s="5"/>
      <c r="AD59" s="5"/>
      <c r="AE59" s="5"/>
      <c r="AF59" s="5">
        <v>46157</v>
      </c>
      <c r="AG59" s="3" t="s">
        <v>455</v>
      </c>
      <c r="AH59" s="3" t="s">
        <v>419</v>
      </c>
      <c r="AI59" s="5">
        <v>46152</v>
      </c>
      <c r="AJ59" s="3">
        <v>77</v>
      </c>
      <c r="AK59" s="3"/>
      <c r="AL59" s="3"/>
      <c r="AM59" s="3" t="str">
        <f t="shared" si="7"/>
        <v/>
      </c>
      <c r="AN59" s="3" t="str">
        <f t="shared" si="8"/>
        <v/>
      </c>
      <c r="AO59" s="3">
        <f t="shared" si="9"/>
        <v>100</v>
      </c>
      <c r="AP59" s="3" t="str">
        <f t="shared" si="10"/>
        <v/>
      </c>
      <c r="AQ59" s="3">
        <v>0</v>
      </c>
      <c r="AR59" s="3">
        <v>100</v>
      </c>
      <c r="AS59" s="3">
        <f t="shared" si="11"/>
        <v>100</v>
      </c>
      <c r="AT59" s="4">
        <v>100</v>
      </c>
      <c r="AU59" s="3">
        <f t="shared" si="12"/>
        <v>100</v>
      </c>
      <c r="AV59" s="3" t="str">
        <f t="shared" si="13"/>
        <v/>
      </c>
      <c r="AW59" s="3" t="s">
        <v>456</v>
      </c>
    </row>
    <row r="60" spans="1:49" ht="123" customHeight="1" x14ac:dyDescent="0.3">
      <c r="A60" s="7">
        <v>2026002700007</v>
      </c>
      <c r="B60" s="3" t="s">
        <v>90</v>
      </c>
      <c r="C60" s="3" t="s">
        <v>457</v>
      </c>
      <c r="D60" s="3" t="s">
        <v>915</v>
      </c>
      <c r="E60" s="3" t="s">
        <v>286</v>
      </c>
      <c r="F60" s="3" t="s">
        <v>911</v>
      </c>
      <c r="G60" s="3" t="s">
        <v>340</v>
      </c>
      <c r="H60" s="3"/>
      <c r="I60" s="3"/>
      <c r="J60" s="3" t="s">
        <v>912</v>
      </c>
      <c r="K60" s="4">
        <v>783362744.10000002</v>
      </c>
      <c r="L60" s="4">
        <v>0</v>
      </c>
      <c r="M60" s="4">
        <v>0</v>
      </c>
      <c r="N60" s="4">
        <v>0</v>
      </c>
      <c r="O60" s="4">
        <v>783362744.10000002</v>
      </c>
      <c r="P60" s="4">
        <v>0</v>
      </c>
      <c r="Q60" s="5"/>
      <c r="R60" s="5">
        <v>46172</v>
      </c>
      <c r="S60" s="5">
        <v>46176</v>
      </c>
      <c r="T60" s="5">
        <v>46178</v>
      </c>
      <c r="U60" s="4">
        <v>0</v>
      </c>
      <c r="V60" s="4">
        <v>0</v>
      </c>
      <c r="W60" s="3"/>
      <c r="X60" s="3"/>
      <c r="Y60" s="5">
        <v>46169</v>
      </c>
      <c r="Z60" s="5"/>
      <c r="AA60" s="5"/>
      <c r="AB60" s="5"/>
      <c r="AC60" s="5"/>
      <c r="AD60" s="5"/>
      <c r="AE60" s="5"/>
      <c r="AF60" s="5">
        <v>46188</v>
      </c>
      <c r="AG60" s="3"/>
      <c r="AH60" s="3"/>
      <c r="AI60" s="5"/>
      <c r="AJ60" s="3">
        <v>19</v>
      </c>
      <c r="AK60" s="3"/>
      <c r="AL60" s="3"/>
      <c r="AM60" s="3" t="str">
        <f t="shared" si="7"/>
        <v/>
      </c>
      <c r="AN60" s="3" t="str">
        <f t="shared" si="8"/>
        <v/>
      </c>
      <c r="AO60" s="3">
        <f t="shared" si="9"/>
        <v>100</v>
      </c>
      <c r="AP60" s="3" t="str">
        <f t="shared" si="10"/>
        <v/>
      </c>
      <c r="AQ60" s="3"/>
      <c r="AR60" s="3">
        <v>100</v>
      </c>
      <c r="AS60" s="3" t="str">
        <f t="shared" si="11"/>
        <v/>
      </c>
      <c r="AT60" s="4"/>
      <c r="AU60" s="3">
        <f t="shared" si="12"/>
        <v>100</v>
      </c>
      <c r="AV60" s="3" t="str">
        <f t="shared" si="13"/>
        <v/>
      </c>
      <c r="AW60" s="3" t="s">
        <v>913</v>
      </c>
    </row>
  </sheetData>
  <mergeCells count="3">
    <mergeCell ref="A1:T1"/>
    <mergeCell ref="U1:AQ1"/>
    <mergeCell ref="AR1:AW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18"/>
  <sheetViews>
    <sheetView topLeftCell="S1" workbookViewId="0">
      <selection activeCell="V2" sqref="V2"/>
    </sheetView>
  </sheetViews>
  <sheetFormatPr baseColWidth="10" defaultColWidth="8.88671875" defaultRowHeight="14.4" x14ac:dyDescent="0.3"/>
  <cols>
    <col min="1" max="29" width="25.6640625" customWidth="1"/>
    <col min="30" max="30" width="25.6640625" hidden="1" customWidth="1"/>
    <col min="31" max="35" width="25.6640625" customWidth="1"/>
    <col min="36" max="36" width="25.6640625" hidden="1" customWidth="1"/>
    <col min="37" max="38" width="25.6640625" customWidth="1"/>
  </cols>
  <sheetData>
    <row r="1" spans="1:38" ht="40.049999999999997" customHeight="1" x14ac:dyDescent="0.3">
      <c r="A1" s="8" t="s">
        <v>0</v>
      </c>
      <c r="B1" s="8"/>
      <c r="C1" s="8"/>
      <c r="D1" s="8"/>
      <c r="E1" s="8"/>
      <c r="F1" s="8"/>
      <c r="G1" s="8"/>
      <c r="H1" s="8"/>
      <c r="I1" s="8"/>
      <c r="J1" s="8"/>
      <c r="K1" s="8"/>
      <c r="L1" s="8"/>
      <c r="M1" s="8"/>
      <c r="N1" s="8"/>
      <c r="O1" s="9" t="s">
        <v>1</v>
      </c>
      <c r="P1" s="9"/>
      <c r="Q1" s="9"/>
      <c r="R1" s="9"/>
      <c r="S1" s="9"/>
      <c r="T1" s="9"/>
      <c r="U1" s="9"/>
      <c r="V1" s="9"/>
      <c r="W1" s="9"/>
      <c r="X1" s="9"/>
      <c r="Y1" s="9"/>
      <c r="Z1" s="9"/>
      <c r="AA1" s="9"/>
      <c r="AB1" s="9"/>
      <c r="AC1" s="9"/>
      <c r="AD1" s="9"/>
      <c r="AE1" s="9"/>
      <c r="AF1" s="9"/>
      <c r="AG1" s="8" t="s">
        <v>2</v>
      </c>
      <c r="AH1" s="8"/>
      <c r="AI1" s="8"/>
      <c r="AJ1" s="8"/>
      <c r="AK1" s="8"/>
      <c r="AL1" s="8"/>
    </row>
    <row r="2" spans="1:38" ht="70.05" customHeight="1" x14ac:dyDescent="0.3">
      <c r="A2" s="1" t="s">
        <v>3</v>
      </c>
      <c r="B2" s="1" t="s">
        <v>458</v>
      </c>
      <c r="C2" s="1" t="s">
        <v>459</v>
      </c>
      <c r="D2" s="1" t="s">
        <v>460</v>
      </c>
      <c r="E2" s="1" t="s">
        <v>7</v>
      </c>
      <c r="F2" s="1" t="s">
        <v>461</v>
      </c>
      <c r="G2" s="1" t="s">
        <v>9</v>
      </c>
      <c r="H2" s="1" t="s">
        <v>10</v>
      </c>
      <c r="I2" s="1" t="s">
        <v>13</v>
      </c>
      <c r="J2" s="1" t="s">
        <v>462</v>
      </c>
      <c r="K2" s="1" t="s">
        <v>463</v>
      </c>
      <c r="L2" s="1" t="s">
        <v>20</v>
      </c>
      <c r="M2" s="1" t="s">
        <v>21</v>
      </c>
      <c r="N2" s="1" t="s">
        <v>464</v>
      </c>
      <c r="O2" s="2" t="s">
        <v>465</v>
      </c>
      <c r="P2" s="2" t="s">
        <v>24</v>
      </c>
      <c r="Q2" s="2" t="s">
        <v>25</v>
      </c>
      <c r="R2" s="2" t="s">
        <v>26</v>
      </c>
      <c r="S2" s="2" t="s">
        <v>27</v>
      </c>
      <c r="T2" s="2" t="s">
        <v>28</v>
      </c>
      <c r="U2" s="2" t="s">
        <v>917</v>
      </c>
      <c r="V2" s="2" t="s">
        <v>918</v>
      </c>
      <c r="W2" s="2" t="s">
        <v>29</v>
      </c>
      <c r="X2" s="2" t="s">
        <v>32</v>
      </c>
      <c r="Y2" s="2" t="s">
        <v>36</v>
      </c>
      <c r="Z2" s="2" t="s">
        <v>37</v>
      </c>
      <c r="AA2" s="2" t="s">
        <v>38</v>
      </c>
      <c r="AB2" s="2" t="s">
        <v>39</v>
      </c>
      <c r="AC2" s="2" t="s">
        <v>40</v>
      </c>
      <c r="AD2" s="2" t="s">
        <v>41</v>
      </c>
      <c r="AE2" s="2" t="s">
        <v>42</v>
      </c>
      <c r="AF2" s="2" t="s">
        <v>43</v>
      </c>
      <c r="AG2" s="1" t="s">
        <v>44</v>
      </c>
      <c r="AH2" s="1" t="s">
        <v>45</v>
      </c>
      <c r="AI2" s="1" t="s">
        <v>46</v>
      </c>
      <c r="AJ2" s="1" t="s">
        <v>47</v>
      </c>
      <c r="AK2" s="1" t="s">
        <v>48</v>
      </c>
      <c r="AL2" s="1" t="s">
        <v>49</v>
      </c>
    </row>
    <row r="3" spans="1:38" ht="70.05" customHeight="1" x14ac:dyDescent="0.3">
      <c r="A3" s="3" t="s">
        <v>466</v>
      </c>
      <c r="B3" s="3" t="s">
        <v>467</v>
      </c>
      <c r="C3" s="3" t="s">
        <v>468</v>
      </c>
      <c r="D3" s="3" t="s">
        <v>469</v>
      </c>
      <c r="E3" s="3" t="s">
        <v>280</v>
      </c>
      <c r="F3" s="3" t="s">
        <v>470</v>
      </c>
      <c r="G3" s="3" t="s">
        <v>56</v>
      </c>
      <c r="H3" s="3" t="s">
        <v>471</v>
      </c>
      <c r="I3" s="4">
        <v>2006938345.6700001</v>
      </c>
      <c r="J3" s="4">
        <v>398005572.76999998</v>
      </c>
      <c r="K3" s="4">
        <v>2404943918.4400001</v>
      </c>
      <c r="L3" s="5">
        <v>44196</v>
      </c>
      <c r="M3" s="5">
        <v>44197</v>
      </c>
      <c r="N3" s="5">
        <v>44326</v>
      </c>
      <c r="O3" s="4">
        <v>100.01</v>
      </c>
      <c r="P3" s="4">
        <v>84.26</v>
      </c>
      <c r="Q3" s="3"/>
      <c r="R3" s="3"/>
      <c r="S3" s="5">
        <v>44193</v>
      </c>
      <c r="T3" s="5">
        <v>44412</v>
      </c>
      <c r="U3" s="6">
        <v>44342</v>
      </c>
      <c r="V3" s="6"/>
      <c r="W3" s="5">
        <v>44593</v>
      </c>
      <c r="X3" s="5">
        <v>46127</v>
      </c>
      <c r="Y3" s="3"/>
      <c r="Z3" s="3"/>
      <c r="AA3" s="3"/>
      <c r="AB3" s="3" t="str">
        <f t="shared" ref="AB3:AB18"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C3" s="3" t="str">
        <f t="shared" ref="AC3:AC18"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D3" s="3">
        <f t="shared" ref="AD3:AD18" si="2">IF(AND($P3&lt;60,($P3-$O3)&lt;=50),100,IF(AND($P3&lt;60,($P3-$O3)&gt;50),0,IF(AND($P3&gt;=60,$P3&lt;70,($P3-$O3)&lt;=40),100,IF(AND($P3&gt;=60,$P3&lt;70,($P3-$O3)&gt;40),0,IF(AND($P3&gt;=70,$P3&lt;80,($P3-$O3)&lt;=30),100,IF(AND($P3&gt;=70,$P3&lt;80,($P3-$O3)&gt;30),0,IF(AND($P3&gt;=80,$P3&lt;90,($P3-$O3)&lt;=20),100,IF(AND($P3&gt;=80,$P3&lt;90,($P3-$O3)&gt;20),0,IF(AND($P3&gt;=90,$P3&lt;=100,($P3-$O3)&lt;=10),100,IF(AND($P3&gt;=90,$P3&lt;=100,($P3-$O3)&gt;10),0,""))))))))))</f>
        <v>100</v>
      </c>
      <c r="AE3" s="3" t="str">
        <f t="shared" ref="AE3:AE18" si="3">IF(AND($O3&gt;$P3,$G3="CONTRATADO EN EJECUCIÓN"),100,IF(AND($P3&gt;$O3,($P3-$O3)&gt;50,$G3="CONTRATADO EN EJECUCIÓN"),0,IF(AND($P3&gt;$O3,($P3-$O3)&lt;=50,$P3&lt;=60),100,IF(AND($P3&gt;$O3,($P3-$O3)&lt;=50,$P3&gt;60),$AD3,""))))</f>
        <v/>
      </c>
      <c r="AF3" s="3">
        <v>2</v>
      </c>
      <c r="AG3" s="3"/>
      <c r="AH3" s="3"/>
      <c r="AI3" s="3"/>
      <c r="AJ3" s="3">
        <f t="shared" ref="AJ3:AJ18" si="4">IF($AF3=0,100,IF($AF3=1,90,IF($AF3=2,75,IF($AF3=3,60,IF($AF3=4,50,IF($AF3=5,25,IF($AF3&gt;=6,0,"")))))))</f>
        <v>75</v>
      </c>
      <c r="AK3" s="3" t="str">
        <f t="shared" ref="AK3:AK18" si="5">IFERROR(IF(AND($G3="CONTRATADO EN EJECUCIÓN",$AF3&gt;=1),(IFERROR(IF(ISNUMBER($AH3),($AB3*0.4+$AC3*0.2+$AE3*0.4),""),""))*$AJ3/100,IFERROR(IF(ISNUMBER($AH3),($AB3*0.4+$AC3*0.2+$AE3*0.4),""),"")),0)</f>
        <v/>
      </c>
      <c r="AL3" s="3" t="s">
        <v>472</v>
      </c>
    </row>
    <row r="4" spans="1:38" ht="70.05" customHeight="1" x14ac:dyDescent="0.3">
      <c r="A4" s="3" t="s">
        <v>473</v>
      </c>
      <c r="B4" s="3" t="s">
        <v>467</v>
      </c>
      <c r="C4" s="3" t="s">
        <v>474</v>
      </c>
      <c r="D4" s="3" t="s">
        <v>475</v>
      </c>
      <c r="E4" s="3" t="s">
        <v>280</v>
      </c>
      <c r="F4" s="3" t="s">
        <v>476</v>
      </c>
      <c r="G4" s="3" t="s">
        <v>56</v>
      </c>
      <c r="H4" s="3" t="s">
        <v>471</v>
      </c>
      <c r="I4" s="4">
        <v>1295118639.0699999</v>
      </c>
      <c r="J4" s="4">
        <v>143902071.00999999</v>
      </c>
      <c r="K4" s="4">
        <v>1439020710.0799999</v>
      </c>
      <c r="L4" s="5">
        <v>44196</v>
      </c>
      <c r="M4" s="5">
        <v>44197</v>
      </c>
      <c r="N4" s="5">
        <v>44326</v>
      </c>
      <c r="O4" s="4">
        <v>100</v>
      </c>
      <c r="P4" s="4">
        <v>95.4</v>
      </c>
      <c r="Q4" s="3"/>
      <c r="R4" s="3"/>
      <c r="S4" s="5">
        <v>44193</v>
      </c>
      <c r="T4" s="5">
        <v>44412</v>
      </c>
      <c r="U4" s="6">
        <v>44462</v>
      </c>
      <c r="V4" s="6"/>
      <c r="W4" s="5">
        <v>44567</v>
      </c>
      <c r="X4" s="5">
        <v>46127</v>
      </c>
      <c r="Y4" s="3"/>
      <c r="Z4" s="3"/>
      <c r="AA4" s="3"/>
      <c r="AB4" s="3" t="str">
        <f t="shared" si="0"/>
        <v/>
      </c>
      <c r="AC4" s="3" t="str">
        <f t="shared" si="1"/>
        <v/>
      </c>
      <c r="AD4" s="3">
        <f t="shared" si="2"/>
        <v>100</v>
      </c>
      <c r="AE4" s="3" t="str">
        <f t="shared" si="3"/>
        <v/>
      </c>
      <c r="AF4" s="3">
        <v>0</v>
      </c>
      <c r="AG4" s="3"/>
      <c r="AH4" s="3"/>
      <c r="AI4" s="3"/>
      <c r="AJ4" s="3">
        <f t="shared" si="4"/>
        <v>100</v>
      </c>
      <c r="AK4" s="3" t="str">
        <f t="shared" si="5"/>
        <v/>
      </c>
      <c r="AL4" s="3" t="s">
        <v>472</v>
      </c>
    </row>
    <row r="5" spans="1:38" ht="70.05" customHeight="1" x14ac:dyDescent="0.3">
      <c r="A5" s="3" t="s">
        <v>477</v>
      </c>
      <c r="B5" s="3" t="s">
        <v>478</v>
      </c>
      <c r="C5" s="3" t="s">
        <v>479</v>
      </c>
      <c r="D5" s="3" t="s">
        <v>480</v>
      </c>
      <c r="E5" s="3" t="s">
        <v>54</v>
      </c>
      <c r="F5" s="3" t="s">
        <v>167</v>
      </c>
      <c r="G5" s="3" t="s">
        <v>85</v>
      </c>
      <c r="H5" s="3" t="s">
        <v>481</v>
      </c>
      <c r="I5" s="4">
        <v>3153851580.9099998</v>
      </c>
      <c r="J5" s="4">
        <v>0</v>
      </c>
      <c r="K5" s="4">
        <v>3153851580.9099998</v>
      </c>
      <c r="L5" s="5">
        <v>44567</v>
      </c>
      <c r="M5" s="5">
        <v>44568</v>
      </c>
      <c r="N5" s="5"/>
      <c r="O5" s="4">
        <v>96.02</v>
      </c>
      <c r="P5" s="4">
        <v>94.36</v>
      </c>
      <c r="Q5" s="3">
        <v>1</v>
      </c>
      <c r="R5" s="3">
        <v>1</v>
      </c>
      <c r="S5" s="5">
        <v>44536</v>
      </c>
      <c r="T5" s="5">
        <v>44930</v>
      </c>
      <c r="U5" s="6">
        <v>44718</v>
      </c>
      <c r="V5" s="6"/>
      <c r="W5" s="5">
        <v>44722</v>
      </c>
      <c r="X5" s="5">
        <v>46096</v>
      </c>
      <c r="Y5" s="3"/>
      <c r="Z5" s="3"/>
      <c r="AA5" s="3"/>
      <c r="AB5" s="3">
        <f t="shared" si="0"/>
        <v>100</v>
      </c>
      <c r="AC5" s="3">
        <f t="shared" si="1"/>
        <v>100</v>
      </c>
      <c r="AD5" s="3">
        <f t="shared" si="2"/>
        <v>100</v>
      </c>
      <c r="AE5" s="3">
        <f t="shared" si="3"/>
        <v>100</v>
      </c>
      <c r="AF5" s="3">
        <v>2</v>
      </c>
      <c r="AG5" s="3"/>
      <c r="AH5" s="3">
        <v>100</v>
      </c>
      <c r="AI5" s="3">
        <v>100</v>
      </c>
      <c r="AJ5" s="3">
        <f t="shared" si="4"/>
        <v>75</v>
      </c>
      <c r="AK5" s="3">
        <f t="shared" si="5"/>
        <v>75</v>
      </c>
      <c r="AL5" s="3" t="s">
        <v>482</v>
      </c>
    </row>
    <row r="6" spans="1:38" ht="70.05" customHeight="1" x14ac:dyDescent="0.3">
      <c r="A6" s="3" t="s">
        <v>483</v>
      </c>
      <c r="B6" s="3" t="s">
        <v>467</v>
      </c>
      <c r="C6" s="3" t="s">
        <v>484</v>
      </c>
      <c r="D6" s="3" t="s">
        <v>485</v>
      </c>
      <c r="E6" s="3" t="s">
        <v>280</v>
      </c>
      <c r="F6" s="3" t="s">
        <v>486</v>
      </c>
      <c r="G6" s="3" t="s">
        <v>85</v>
      </c>
      <c r="H6" s="3" t="s">
        <v>487</v>
      </c>
      <c r="I6" s="4">
        <v>6026477761</v>
      </c>
      <c r="J6" s="4">
        <v>4412367709</v>
      </c>
      <c r="K6" s="4">
        <v>10438845470</v>
      </c>
      <c r="L6" s="5">
        <v>44623</v>
      </c>
      <c r="M6" s="5">
        <v>44624</v>
      </c>
      <c r="N6" s="5">
        <v>44509</v>
      </c>
      <c r="O6" s="4">
        <v>73.45</v>
      </c>
      <c r="P6" s="4">
        <v>49.45</v>
      </c>
      <c r="Q6" s="3">
        <v>1</v>
      </c>
      <c r="R6" s="3">
        <v>0.97</v>
      </c>
      <c r="S6" s="5">
        <v>44503</v>
      </c>
      <c r="T6" s="5">
        <v>44643</v>
      </c>
      <c r="U6" s="6">
        <v>44706</v>
      </c>
      <c r="V6" s="6"/>
      <c r="W6" s="5">
        <v>44810</v>
      </c>
      <c r="X6" s="5">
        <v>46127</v>
      </c>
      <c r="Y6" s="3"/>
      <c r="Z6" s="3"/>
      <c r="AA6" s="3"/>
      <c r="AB6" s="3">
        <f t="shared" si="0"/>
        <v>100</v>
      </c>
      <c r="AC6" s="3">
        <f t="shared" si="1"/>
        <v>100</v>
      </c>
      <c r="AD6" s="3">
        <f t="shared" si="2"/>
        <v>100</v>
      </c>
      <c r="AE6" s="3">
        <f t="shared" si="3"/>
        <v>100</v>
      </c>
      <c r="AF6" s="3">
        <v>4</v>
      </c>
      <c r="AG6" s="3"/>
      <c r="AH6" s="3">
        <v>100</v>
      </c>
      <c r="AI6" s="3">
        <v>100</v>
      </c>
      <c r="AJ6" s="3">
        <f t="shared" si="4"/>
        <v>50</v>
      </c>
      <c r="AK6" s="3">
        <f t="shared" si="5"/>
        <v>50</v>
      </c>
      <c r="AL6" s="3" t="s">
        <v>488</v>
      </c>
    </row>
    <row r="7" spans="1:38" ht="70.05" customHeight="1" x14ac:dyDescent="0.3">
      <c r="A7" s="3" t="s">
        <v>489</v>
      </c>
      <c r="B7" s="3" t="s">
        <v>467</v>
      </c>
      <c r="C7" s="3" t="s">
        <v>490</v>
      </c>
      <c r="D7" s="3" t="s">
        <v>491</v>
      </c>
      <c r="E7" s="3" t="s">
        <v>280</v>
      </c>
      <c r="F7" s="3" t="s">
        <v>492</v>
      </c>
      <c r="G7" s="3" t="s">
        <v>85</v>
      </c>
      <c r="H7" s="3" t="s">
        <v>481</v>
      </c>
      <c r="I7" s="4">
        <v>1800000000</v>
      </c>
      <c r="J7" s="4">
        <v>3595445276.02</v>
      </c>
      <c r="K7" s="4">
        <v>5395445276.0200005</v>
      </c>
      <c r="L7" s="5">
        <v>44924</v>
      </c>
      <c r="M7" s="5">
        <v>44925</v>
      </c>
      <c r="N7" s="5">
        <v>44930</v>
      </c>
      <c r="O7" s="4">
        <v>64.489999999999995</v>
      </c>
      <c r="P7" s="4">
        <v>45.29</v>
      </c>
      <c r="Q7" s="3">
        <v>1</v>
      </c>
      <c r="R7" s="3">
        <v>1</v>
      </c>
      <c r="S7" s="5">
        <v>44924</v>
      </c>
      <c r="T7" s="5">
        <v>45093</v>
      </c>
      <c r="U7" s="6">
        <v>45043</v>
      </c>
      <c r="V7" s="6"/>
      <c r="W7" s="5">
        <v>45175</v>
      </c>
      <c r="X7" s="5">
        <v>46127</v>
      </c>
      <c r="Y7" s="3"/>
      <c r="Z7" s="3"/>
      <c r="AA7" s="3"/>
      <c r="AB7" s="3">
        <f t="shared" si="0"/>
        <v>100</v>
      </c>
      <c r="AC7" s="3">
        <f t="shared" si="1"/>
        <v>100</v>
      </c>
      <c r="AD7" s="3">
        <f t="shared" si="2"/>
        <v>100</v>
      </c>
      <c r="AE7" s="3">
        <f t="shared" si="3"/>
        <v>100</v>
      </c>
      <c r="AF7" s="3">
        <v>4</v>
      </c>
      <c r="AG7" s="3"/>
      <c r="AH7" s="3">
        <v>100</v>
      </c>
      <c r="AI7" s="3">
        <v>100</v>
      </c>
      <c r="AJ7" s="3">
        <f t="shared" si="4"/>
        <v>50</v>
      </c>
      <c r="AK7" s="3">
        <f t="shared" si="5"/>
        <v>50</v>
      </c>
      <c r="AL7" s="3" t="s">
        <v>488</v>
      </c>
    </row>
    <row r="8" spans="1:38" ht="70.05" customHeight="1" x14ac:dyDescent="0.3">
      <c r="A8" s="3" t="s">
        <v>493</v>
      </c>
      <c r="B8" s="3" t="s">
        <v>478</v>
      </c>
      <c r="C8" s="3" t="s">
        <v>494</v>
      </c>
      <c r="D8" s="3" t="s">
        <v>495</v>
      </c>
      <c r="E8" s="3" t="s">
        <v>54</v>
      </c>
      <c r="F8" s="3" t="s">
        <v>96</v>
      </c>
      <c r="G8" s="3" t="s">
        <v>56</v>
      </c>
      <c r="H8" s="3" t="s">
        <v>471</v>
      </c>
      <c r="I8" s="4">
        <v>1702007732.2</v>
      </c>
      <c r="J8" s="4">
        <v>0</v>
      </c>
      <c r="K8" s="4">
        <v>1702007732.2</v>
      </c>
      <c r="L8" s="5">
        <v>45225</v>
      </c>
      <c r="M8" s="5">
        <v>45226</v>
      </c>
      <c r="N8" s="5">
        <v>45232</v>
      </c>
      <c r="O8" s="4">
        <v>100</v>
      </c>
      <c r="P8" s="4">
        <v>92.4</v>
      </c>
      <c r="Q8" s="3"/>
      <c r="R8" s="3"/>
      <c r="S8" s="5">
        <v>45219</v>
      </c>
      <c r="T8" s="5">
        <v>45274</v>
      </c>
      <c r="U8" s="6">
        <v>45289</v>
      </c>
      <c r="V8" s="6"/>
      <c r="W8" s="5">
        <v>45300</v>
      </c>
      <c r="X8" s="5">
        <v>46096</v>
      </c>
      <c r="Y8" s="3"/>
      <c r="Z8" s="3"/>
      <c r="AA8" s="3"/>
      <c r="AB8" s="3" t="str">
        <f t="shared" si="0"/>
        <v/>
      </c>
      <c r="AC8" s="3" t="str">
        <f t="shared" si="1"/>
        <v/>
      </c>
      <c r="AD8" s="3">
        <f t="shared" si="2"/>
        <v>100</v>
      </c>
      <c r="AE8" s="3" t="str">
        <f t="shared" si="3"/>
        <v/>
      </c>
      <c r="AF8" s="3">
        <v>0</v>
      </c>
      <c r="AG8" s="3"/>
      <c r="AH8" s="3"/>
      <c r="AI8" s="3"/>
      <c r="AJ8" s="3">
        <f t="shared" si="4"/>
        <v>100</v>
      </c>
      <c r="AK8" s="3" t="str">
        <f t="shared" si="5"/>
        <v/>
      </c>
      <c r="AL8" s="3" t="s">
        <v>472</v>
      </c>
    </row>
    <row r="9" spans="1:38" ht="70.05" customHeight="1" x14ac:dyDescent="0.3">
      <c r="A9" s="3" t="s">
        <v>496</v>
      </c>
      <c r="B9" s="3" t="s">
        <v>478</v>
      </c>
      <c r="C9" s="3" t="s">
        <v>497</v>
      </c>
      <c r="D9" s="3" t="s">
        <v>498</v>
      </c>
      <c r="E9" s="3" t="s">
        <v>286</v>
      </c>
      <c r="F9" s="3" t="s">
        <v>499</v>
      </c>
      <c r="G9" s="3" t="s">
        <v>208</v>
      </c>
      <c r="H9" s="3" t="s">
        <v>471</v>
      </c>
      <c r="I9" s="4">
        <v>13713002364.719999</v>
      </c>
      <c r="J9" s="4">
        <v>0</v>
      </c>
      <c r="K9" s="4">
        <v>13713002364.719999</v>
      </c>
      <c r="L9" s="5">
        <v>45301</v>
      </c>
      <c r="M9" s="5">
        <v>45302</v>
      </c>
      <c r="N9" s="5">
        <v>45290</v>
      </c>
      <c r="O9" s="4">
        <v>100</v>
      </c>
      <c r="P9" s="4">
        <v>99.99</v>
      </c>
      <c r="Q9" s="3">
        <v>1</v>
      </c>
      <c r="R9" s="3">
        <v>1</v>
      </c>
      <c r="S9" s="5">
        <v>45290</v>
      </c>
      <c r="T9" s="5">
        <v>45433</v>
      </c>
      <c r="U9" s="6">
        <v>45505</v>
      </c>
      <c r="V9" s="6"/>
      <c r="W9" s="5">
        <v>45567</v>
      </c>
      <c r="X9" s="5">
        <v>46096</v>
      </c>
      <c r="Y9" s="3"/>
      <c r="Z9" s="3"/>
      <c r="AA9" s="3"/>
      <c r="AB9" s="3" t="str">
        <f t="shared" si="0"/>
        <v/>
      </c>
      <c r="AC9" s="3" t="str">
        <f t="shared" si="1"/>
        <v/>
      </c>
      <c r="AD9" s="3">
        <f t="shared" si="2"/>
        <v>100</v>
      </c>
      <c r="AE9" s="3" t="str">
        <f t="shared" si="3"/>
        <v/>
      </c>
      <c r="AF9" s="3">
        <v>2</v>
      </c>
      <c r="AG9" s="3"/>
      <c r="AH9" s="3">
        <v>100</v>
      </c>
      <c r="AI9" s="3">
        <v>100</v>
      </c>
      <c r="AJ9" s="3">
        <f t="shared" si="4"/>
        <v>75</v>
      </c>
      <c r="AK9" s="3" t="str">
        <f t="shared" si="5"/>
        <v/>
      </c>
      <c r="AL9" s="3" t="s">
        <v>472</v>
      </c>
    </row>
    <row r="10" spans="1:38" ht="70.05" customHeight="1" x14ac:dyDescent="0.3">
      <c r="A10" s="3" t="s">
        <v>500</v>
      </c>
      <c r="B10" s="3" t="s">
        <v>478</v>
      </c>
      <c r="C10" s="3" t="s">
        <v>501</v>
      </c>
      <c r="D10" s="3" t="s">
        <v>502</v>
      </c>
      <c r="E10" s="3" t="s">
        <v>221</v>
      </c>
      <c r="F10" s="3" t="s">
        <v>96</v>
      </c>
      <c r="G10" s="3" t="s">
        <v>85</v>
      </c>
      <c r="H10" s="3" t="s">
        <v>481</v>
      </c>
      <c r="I10" s="4">
        <v>9056051736.6399994</v>
      </c>
      <c r="J10" s="4">
        <v>0</v>
      </c>
      <c r="K10" s="4">
        <v>9056051736.6399994</v>
      </c>
      <c r="L10" s="5">
        <v>45301</v>
      </c>
      <c r="M10" s="5">
        <v>45302</v>
      </c>
      <c r="N10" s="5">
        <v>45290</v>
      </c>
      <c r="O10" s="4">
        <v>15.79</v>
      </c>
      <c r="P10" s="4">
        <v>31.78</v>
      </c>
      <c r="Q10" s="3">
        <v>1</v>
      </c>
      <c r="R10" s="3">
        <v>0.89</v>
      </c>
      <c r="S10" s="5">
        <v>45290</v>
      </c>
      <c r="T10" s="5">
        <v>45491</v>
      </c>
      <c r="U10" s="6">
        <v>45582</v>
      </c>
      <c r="V10" s="6"/>
      <c r="W10" s="5">
        <v>45772</v>
      </c>
      <c r="X10" s="5">
        <v>46096</v>
      </c>
      <c r="Y10" s="3"/>
      <c r="Z10" s="3"/>
      <c r="AA10" s="3"/>
      <c r="AB10" s="3">
        <f t="shared" si="0"/>
        <v>100</v>
      </c>
      <c r="AC10" s="3">
        <f t="shared" si="1"/>
        <v>100</v>
      </c>
      <c r="AD10" s="3">
        <f t="shared" si="2"/>
        <v>100</v>
      </c>
      <c r="AE10" s="3">
        <f t="shared" si="3"/>
        <v>100</v>
      </c>
      <c r="AF10" s="3"/>
      <c r="AG10" s="3"/>
      <c r="AH10" s="3">
        <v>100</v>
      </c>
      <c r="AI10" s="3">
        <v>100</v>
      </c>
      <c r="AJ10" s="3">
        <f t="shared" si="4"/>
        <v>100</v>
      </c>
      <c r="AK10" s="3">
        <f t="shared" si="5"/>
        <v>100</v>
      </c>
      <c r="AL10" s="3"/>
    </row>
    <row r="11" spans="1:38" ht="70.05" customHeight="1" x14ac:dyDescent="0.3">
      <c r="A11" s="3" t="s">
        <v>503</v>
      </c>
      <c r="B11" s="3" t="s">
        <v>467</v>
      </c>
      <c r="C11" s="3" t="s">
        <v>504</v>
      </c>
      <c r="D11" s="3" t="s">
        <v>505</v>
      </c>
      <c r="E11" s="3" t="s">
        <v>280</v>
      </c>
      <c r="F11" s="3" t="s">
        <v>96</v>
      </c>
      <c r="G11" s="3" t="s">
        <v>85</v>
      </c>
      <c r="H11" s="3" t="s">
        <v>481</v>
      </c>
      <c r="I11" s="4">
        <v>7862105021</v>
      </c>
      <c r="J11" s="4">
        <v>0</v>
      </c>
      <c r="K11" s="4">
        <v>7862105021</v>
      </c>
      <c r="L11" s="5">
        <v>45477</v>
      </c>
      <c r="M11" s="5">
        <v>45478</v>
      </c>
      <c r="N11" s="5">
        <v>45485</v>
      </c>
      <c r="O11" s="4">
        <v>94.7</v>
      </c>
      <c r="P11" s="4">
        <v>89.87</v>
      </c>
      <c r="Q11" s="3">
        <v>1</v>
      </c>
      <c r="R11" s="3">
        <v>1</v>
      </c>
      <c r="S11" s="5">
        <v>45471</v>
      </c>
      <c r="T11" s="5">
        <v>45539</v>
      </c>
      <c r="U11" s="6">
        <v>45609</v>
      </c>
      <c r="V11" s="6"/>
      <c r="W11" s="5">
        <v>45624</v>
      </c>
      <c r="X11" s="5">
        <v>46127</v>
      </c>
      <c r="Y11" s="3"/>
      <c r="Z11" s="3"/>
      <c r="AA11" s="3"/>
      <c r="AB11" s="3">
        <f t="shared" si="0"/>
        <v>100</v>
      </c>
      <c r="AC11" s="3">
        <f t="shared" si="1"/>
        <v>100</v>
      </c>
      <c r="AD11" s="3">
        <f t="shared" si="2"/>
        <v>100</v>
      </c>
      <c r="AE11" s="3">
        <f t="shared" si="3"/>
        <v>100</v>
      </c>
      <c r="AF11" s="3">
        <v>3</v>
      </c>
      <c r="AG11" s="3"/>
      <c r="AH11" s="3">
        <v>100</v>
      </c>
      <c r="AI11" s="3">
        <v>100</v>
      </c>
      <c r="AJ11" s="3">
        <f t="shared" si="4"/>
        <v>60</v>
      </c>
      <c r="AK11" s="3">
        <f t="shared" si="5"/>
        <v>60</v>
      </c>
      <c r="AL11" s="3"/>
    </row>
    <row r="12" spans="1:38" ht="70.05" customHeight="1" x14ac:dyDescent="0.3">
      <c r="A12" s="3" t="s">
        <v>506</v>
      </c>
      <c r="B12" s="3" t="s">
        <v>507</v>
      </c>
      <c r="C12" s="3" t="s">
        <v>508</v>
      </c>
      <c r="D12" s="3" t="s">
        <v>509</v>
      </c>
      <c r="E12" s="3" t="s">
        <v>257</v>
      </c>
      <c r="F12" s="3" t="s">
        <v>96</v>
      </c>
      <c r="G12" s="3" t="s">
        <v>85</v>
      </c>
      <c r="H12" s="3" t="s">
        <v>481</v>
      </c>
      <c r="I12" s="4">
        <v>15100656106.639999</v>
      </c>
      <c r="J12" s="4">
        <v>0</v>
      </c>
      <c r="K12" s="4">
        <v>15100656106.639999</v>
      </c>
      <c r="L12" s="5">
        <v>45474</v>
      </c>
      <c r="M12" s="5">
        <v>45475</v>
      </c>
      <c r="N12" s="5">
        <v>45506</v>
      </c>
      <c r="O12" s="4">
        <v>99.98</v>
      </c>
      <c r="P12" s="4">
        <v>88.74</v>
      </c>
      <c r="Q12" s="3">
        <v>1</v>
      </c>
      <c r="R12" s="3">
        <v>1</v>
      </c>
      <c r="S12" s="5">
        <v>45470</v>
      </c>
      <c r="T12" s="5">
        <v>45544</v>
      </c>
      <c r="U12" s="6">
        <v>45716</v>
      </c>
      <c r="V12" s="6"/>
      <c r="W12" s="5">
        <v>45723</v>
      </c>
      <c r="X12" s="5">
        <v>46096</v>
      </c>
      <c r="Y12" s="3"/>
      <c r="Z12" s="3"/>
      <c r="AA12" s="3"/>
      <c r="AB12" s="3">
        <f t="shared" si="0"/>
        <v>100</v>
      </c>
      <c r="AC12" s="3">
        <f t="shared" si="1"/>
        <v>100</v>
      </c>
      <c r="AD12" s="3">
        <f t="shared" si="2"/>
        <v>100</v>
      </c>
      <c r="AE12" s="3">
        <f t="shared" si="3"/>
        <v>100</v>
      </c>
      <c r="AF12" s="3">
        <v>1</v>
      </c>
      <c r="AG12" s="3"/>
      <c r="AH12" s="3">
        <v>100</v>
      </c>
      <c r="AI12" s="3">
        <v>100</v>
      </c>
      <c r="AJ12" s="3">
        <f t="shared" si="4"/>
        <v>90</v>
      </c>
      <c r="AK12" s="3">
        <f t="shared" si="5"/>
        <v>90</v>
      </c>
      <c r="AL12" s="3" t="s">
        <v>510</v>
      </c>
    </row>
    <row r="13" spans="1:38" ht="70.05" customHeight="1" x14ac:dyDescent="0.3">
      <c r="A13" s="3" t="s">
        <v>511</v>
      </c>
      <c r="B13" s="3" t="s">
        <v>467</v>
      </c>
      <c r="C13" s="3" t="s">
        <v>512</v>
      </c>
      <c r="D13" s="3" t="s">
        <v>513</v>
      </c>
      <c r="E13" s="3" t="s">
        <v>272</v>
      </c>
      <c r="F13" s="3" t="s">
        <v>96</v>
      </c>
      <c r="G13" s="3" t="s">
        <v>56</v>
      </c>
      <c r="H13" s="3" t="s">
        <v>481</v>
      </c>
      <c r="I13" s="4">
        <v>3068416428</v>
      </c>
      <c r="J13" s="4">
        <v>0</v>
      </c>
      <c r="K13" s="4">
        <v>3068416428</v>
      </c>
      <c r="L13" s="5">
        <v>45658</v>
      </c>
      <c r="M13" s="5">
        <v>45659</v>
      </c>
      <c r="N13" s="5">
        <v>45656</v>
      </c>
      <c r="O13" s="4">
        <v>99.99</v>
      </c>
      <c r="P13" s="4">
        <v>64.38</v>
      </c>
      <c r="Q13" s="3">
        <v>1</v>
      </c>
      <c r="R13" s="3">
        <v>1</v>
      </c>
      <c r="S13" s="5">
        <v>45650</v>
      </c>
      <c r="T13" s="5">
        <v>45849</v>
      </c>
      <c r="U13" s="6">
        <v>45852</v>
      </c>
      <c r="V13" s="6"/>
      <c r="W13" s="5">
        <v>45863</v>
      </c>
      <c r="X13" s="5">
        <v>46127</v>
      </c>
      <c r="Y13" s="3"/>
      <c r="Z13" s="3"/>
      <c r="AA13" s="3"/>
      <c r="AB13" s="3" t="str">
        <f t="shared" si="0"/>
        <v/>
      </c>
      <c r="AC13" s="3" t="str">
        <f t="shared" si="1"/>
        <v/>
      </c>
      <c r="AD13" s="3">
        <f t="shared" si="2"/>
        <v>100</v>
      </c>
      <c r="AE13" s="3" t="str">
        <f t="shared" si="3"/>
        <v/>
      </c>
      <c r="AF13" s="3"/>
      <c r="AG13" s="3"/>
      <c r="AH13" s="3">
        <v>100</v>
      </c>
      <c r="AI13" s="3">
        <v>100</v>
      </c>
      <c r="AJ13" s="3">
        <f t="shared" si="4"/>
        <v>100</v>
      </c>
      <c r="AK13" s="3" t="str">
        <f t="shared" si="5"/>
        <v/>
      </c>
      <c r="AL13" s="3"/>
    </row>
    <row r="14" spans="1:38" ht="70.05" customHeight="1" x14ac:dyDescent="0.3">
      <c r="A14" s="3" t="s">
        <v>514</v>
      </c>
      <c r="B14" s="3" t="s">
        <v>507</v>
      </c>
      <c r="C14" s="3" t="s">
        <v>515</v>
      </c>
      <c r="D14" s="3" t="s">
        <v>516</v>
      </c>
      <c r="E14" s="3" t="s">
        <v>257</v>
      </c>
      <c r="F14" s="3" t="s">
        <v>96</v>
      </c>
      <c r="G14" s="3" t="s">
        <v>85</v>
      </c>
      <c r="H14" s="3" t="s">
        <v>517</v>
      </c>
      <c r="I14" s="4">
        <v>63850574205.629997</v>
      </c>
      <c r="J14" s="4">
        <v>0</v>
      </c>
      <c r="K14" s="4">
        <v>63850574205.629997</v>
      </c>
      <c r="L14" s="5">
        <v>45658</v>
      </c>
      <c r="M14" s="5">
        <v>45659</v>
      </c>
      <c r="N14" s="5">
        <v>45656</v>
      </c>
      <c r="O14" s="4">
        <v>27.35</v>
      </c>
      <c r="P14" s="4">
        <v>48.74</v>
      </c>
      <c r="Q14" s="3">
        <v>0</v>
      </c>
      <c r="R14" s="3">
        <v>0</v>
      </c>
      <c r="S14" s="5">
        <v>45653</v>
      </c>
      <c r="T14" s="5">
        <v>45656</v>
      </c>
      <c r="U14" s="6">
        <v>45672</v>
      </c>
      <c r="V14" s="6"/>
      <c r="W14" s="5">
        <v>45672</v>
      </c>
      <c r="X14" s="5">
        <v>46096</v>
      </c>
      <c r="Y14" s="3"/>
      <c r="Z14" s="3"/>
      <c r="AA14" s="3"/>
      <c r="AB14" s="3">
        <f t="shared" si="0"/>
        <v>0</v>
      </c>
      <c r="AC14" s="3">
        <f t="shared" si="1"/>
        <v>0</v>
      </c>
      <c r="AD14" s="3">
        <f t="shared" si="2"/>
        <v>100</v>
      </c>
      <c r="AE14" s="3">
        <f t="shared" si="3"/>
        <v>100</v>
      </c>
      <c r="AF14" s="3">
        <v>2</v>
      </c>
      <c r="AG14" s="3"/>
      <c r="AH14" s="3">
        <v>100</v>
      </c>
      <c r="AI14" s="3">
        <v>100</v>
      </c>
      <c r="AJ14" s="3">
        <f t="shared" si="4"/>
        <v>75</v>
      </c>
      <c r="AK14" s="3">
        <f t="shared" si="5"/>
        <v>30</v>
      </c>
      <c r="AL14" s="3"/>
    </row>
    <row r="15" spans="1:38" ht="70.05" customHeight="1" x14ac:dyDescent="0.3">
      <c r="A15" s="3" t="s">
        <v>518</v>
      </c>
      <c r="B15" s="3" t="s">
        <v>467</v>
      </c>
      <c r="C15" s="3" t="s">
        <v>519</v>
      </c>
      <c r="D15" s="3" t="s">
        <v>520</v>
      </c>
      <c r="E15" s="3" t="s">
        <v>280</v>
      </c>
      <c r="F15" s="3" t="s">
        <v>96</v>
      </c>
      <c r="G15" s="3" t="s">
        <v>85</v>
      </c>
      <c r="H15" s="3" t="s">
        <v>481</v>
      </c>
      <c r="I15" s="4">
        <v>11318403530.17</v>
      </c>
      <c r="J15" s="4">
        <v>0</v>
      </c>
      <c r="K15" s="4">
        <v>11318403530.17</v>
      </c>
      <c r="L15" s="5">
        <v>45822</v>
      </c>
      <c r="M15" s="5">
        <v>45823</v>
      </c>
      <c r="N15" s="5">
        <v>45825</v>
      </c>
      <c r="O15" s="4">
        <v>19.2</v>
      </c>
      <c r="P15" s="4">
        <v>40</v>
      </c>
      <c r="Q15" s="3">
        <v>1</v>
      </c>
      <c r="R15" s="3">
        <v>1.06</v>
      </c>
      <c r="S15" s="5">
        <v>45818</v>
      </c>
      <c r="T15" s="5">
        <v>45926</v>
      </c>
      <c r="U15" s="6">
        <v>45981</v>
      </c>
      <c r="V15" s="6"/>
      <c r="W15" s="5">
        <v>46030</v>
      </c>
      <c r="X15" s="5">
        <v>46127</v>
      </c>
      <c r="Y15" s="3"/>
      <c r="Z15" s="3"/>
      <c r="AA15" s="3"/>
      <c r="AB15" s="3">
        <f t="shared" si="0"/>
        <v>100</v>
      </c>
      <c r="AC15" s="3">
        <f t="shared" si="1"/>
        <v>100</v>
      </c>
      <c r="AD15" s="3">
        <f t="shared" si="2"/>
        <v>100</v>
      </c>
      <c r="AE15" s="3">
        <f t="shared" si="3"/>
        <v>100</v>
      </c>
      <c r="AF15" s="3"/>
      <c r="AG15" s="3"/>
      <c r="AH15" s="3">
        <v>100</v>
      </c>
      <c r="AI15" s="3">
        <v>100</v>
      </c>
      <c r="AJ15" s="3">
        <f t="shared" si="4"/>
        <v>100</v>
      </c>
      <c r="AK15" s="3">
        <f t="shared" si="5"/>
        <v>100</v>
      </c>
      <c r="AL15" s="3"/>
    </row>
    <row r="16" spans="1:38" ht="70.05" customHeight="1" x14ac:dyDescent="0.3">
      <c r="A16" s="3" t="s">
        <v>521</v>
      </c>
      <c r="B16" s="3" t="s">
        <v>507</v>
      </c>
      <c r="C16" s="3" t="s">
        <v>522</v>
      </c>
      <c r="D16" s="3" t="s">
        <v>523</v>
      </c>
      <c r="E16" s="3" t="s">
        <v>257</v>
      </c>
      <c r="F16" s="3" t="s">
        <v>216</v>
      </c>
      <c r="G16" s="3" t="s">
        <v>365</v>
      </c>
      <c r="H16" s="3" t="s">
        <v>517</v>
      </c>
      <c r="I16" s="4">
        <v>1903272161</v>
      </c>
      <c r="J16" s="4">
        <v>0</v>
      </c>
      <c r="K16" s="4">
        <v>1903272161</v>
      </c>
      <c r="L16" s="5">
        <v>45789</v>
      </c>
      <c r="M16" s="5">
        <v>45790</v>
      </c>
      <c r="N16" s="5">
        <v>45803</v>
      </c>
      <c r="O16" s="4">
        <v>0</v>
      </c>
      <c r="P16" s="4">
        <v>0</v>
      </c>
      <c r="Q16" s="3"/>
      <c r="R16" s="3"/>
      <c r="S16" s="5">
        <v>45785</v>
      </c>
      <c r="T16" s="5">
        <v>45838</v>
      </c>
      <c r="U16" s="6">
        <v>46058</v>
      </c>
      <c r="V16" s="6"/>
      <c r="W16" s="5"/>
      <c r="X16" s="5">
        <v>46096</v>
      </c>
      <c r="Y16" s="3"/>
      <c r="Z16" s="3"/>
      <c r="AA16" s="3">
        <v>38</v>
      </c>
      <c r="AB16" s="3" t="str">
        <f t="shared" si="0"/>
        <v/>
      </c>
      <c r="AC16" s="3" t="str">
        <f t="shared" si="1"/>
        <v/>
      </c>
      <c r="AD16" s="3">
        <f t="shared" si="2"/>
        <v>100</v>
      </c>
      <c r="AE16" s="3" t="str">
        <f t="shared" si="3"/>
        <v/>
      </c>
      <c r="AF16" s="3"/>
      <c r="AG16" s="3">
        <v>75.862068965517238</v>
      </c>
      <c r="AH16" s="3">
        <v>100</v>
      </c>
      <c r="AI16" s="3">
        <v>100</v>
      </c>
      <c r="AJ16" s="3">
        <f t="shared" si="4"/>
        <v>100</v>
      </c>
      <c r="AK16" s="3" t="str">
        <f t="shared" si="5"/>
        <v/>
      </c>
      <c r="AL16" s="3"/>
    </row>
    <row r="17" spans="1:38" ht="70.05" customHeight="1" x14ac:dyDescent="0.3">
      <c r="A17" s="3" t="s">
        <v>524</v>
      </c>
      <c r="B17" s="3" t="s">
        <v>507</v>
      </c>
      <c r="C17" s="3" t="s">
        <v>525</v>
      </c>
      <c r="D17" s="3" t="s">
        <v>526</v>
      </c>
      <c r="E17" s="3" t="s">
        <v>257</v>
      </c>
      <c r="F17" s="3" t="s">
        <v>216</v>
      </c>
      <c r="G17" s="3" t="s">
        <v>85</v>
      </c>
      <c r="H17" s="3" t="s">
        <v>517</v>
      </c>
      <c r="I17" s="4">
        <v>1484402616</v>
      </c>
      <c r="J17" s="4">
        <v>400000000</v>
      </c>
      <c r="K17" s="4">
        <v>1884402616</v>
      </c>
      <c r="L17" s="5"/>
      <c r="M17" s="5"/>
      <c r="N17" s="5">
        <v>45803</v>
      </c>
      <c r="O17" s="4">
        <v>9.6000000000000002E-2</v>
      </c>
      <c r="P17" s="4">
        <v>22.11</v>
      </c>
      <c r="Q17" s="3"/>
      <c r="R17" s="3"/>
      <c r="S17" s="5">
        <v>45796</v>
      </c>
      <c r="T17" s="5">
        <v>45947</v>
      </c>
      <c r="U17" s="6">
        <v>46112</v>
      </c>
      <c r="V17" s="6"/>
      <c r="W17" s="5">
        <v>46120</v>
      </c>
      <c r="X17" s="5">
        <v>46096</v>
      </c>
      <c r="Y17" s="3"/>
      <c r="Z17" s="3"/>
      <c r="AA17" s="3"/>
      <c r="AB17" s="3">
        <f t="shared" si="0"/>
        <v>0</v>
      </c>
      <c r="AC17" s="3">
        <f t="shared" si="1"/>
        <v>0</v>
      </c>
      <c r="AD17" s="3">
        <f t="shared" si="2"/>
        <v>100</v>
      </c>
      <c r="AE17" s="3">
        <f t="shared" si="3"/>
        <v>100</v>
      </c>
      <c r="AF17" s="3"/>
      <c r="AG17" s="3"/>
      <c r="AH17" s="3">
        <v>100</v>
      </c>
      <c r="AI17" s="3">
        <v>100</v>
      </c>
      <c r="AJ17" s="3">
        <f t="shared" si="4"/>
        <v>100</v>
      </c>
      <c r="AK17" s="3">
        <f t="shared" si="5"/>
        <v>40</v>
      </c>
      <c r="AL17" s="3"/>
    </row>
    <row r="18" spans="1:38" ht="70.05" customHeight="1" x14ac:dyDescent="0.3">
      <c r="A18" s="3" t="s">
        <v>527</v>
      </c>
      <c r="B18" s="3" t="s">
        <v>467</v>
      </c>
      <c r="C18" s="3" t="s">
        <v>528</v>
      </c>
      <c r="D18" s="3" t="s">
        <v>529</v>
      </c>
      <c r="E18" s="3" t="s">
        <v>280</v>
      </c>
      <c r="F18" s="3" t="s">
        <v>530</v>
      </c>
      <c r="G18" s="3" t="s">
        <v>340</v>
      </c>
      <c r="H18" s="3" t="s">
        <v>531</v>
      </c>
      <c r="I18" s="4">
        <v>627486059.86000001</v>
      </c>
      <c r="J18" s="4">
        <v>1650000000</v>
      </c>
      <c r="K18" s="4">
        <v>2277486059.8600001</v>
      </c>
      <c r="L18" s="5">
        <v>46118</v>
      </c>
      <c r="M18" s="5">
        <v>46119</v>
      </c>
      <c r="N18" s="5">
        <v>46119</v>
      </c>
      <c r="O18" s="4"/>
      <c r="P18" s="4"/>
      <c r="Q18" s="3"/>
      <c r="R18" s="3"/>
      <c r="S18" s="5">
        <v>46107</v>
      </c>
      <c r="T18" s="5"/>
      <c r="U18" s="6"/>
      <c r="V18" s="6"/>
      <c r="W18" s="5"/>
      <c r="X18" s="5">
        <v>46127</v>
      </c>
      <c r="Y18" s="3">
        <v>20</v>
      </c>
      <c r="Z18" s="3"/>
      <c r="AA18" s="3"/>
      <c r="AB18" s="3" t="str">
        <f t="shared" si="0"/>
        <v/>
      </c>
      <c r="AC18" s="3" t="str">
        <f t="shared" si="1"/>
        <v/>
      </c>
      <c r="AD18" s="3">
        <f t="shared" si="2"/>
        <v>100</v>
      </c>
      <c r="AE18" s="3" t="str">
        <f t="shared" si="3"/>
        <v/>
      </c>
      <c r="AF18" s="3"/>
      <c r="AG18" s="3">
        <v>100</v>
      </c>
      <c r="AH18" s="3">
        <v>100</v>
      </c>
      <c r="AI18" s="3">
        <v>100</v>
      </c>
      <c r="AJ18" s="3">
        <f t="shared" si="4"/>
        <v>100</v>
      </c>
      <c r="AK18" s="3" t="str">
        <f t="shared" si="5"/>
        <v/>
      </c>
      <c r="AL18" s="3"/>
    </row>
  </sheetData>
  <mergeCells count="3">
    <mergeCell ref="A1:N1"/>
    <mergeCell ref="O1:AF1"/>
    <mergeCell ref="AG1:AL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04"/>
  <sheetViews>
    <sheetView workbookViewId="0"/>
  </sheetViews>
  <sheetFormatPr baseColWidth="10" defaultColWidth="8.88671875" defaultRowHeight="14.4" x14ac:dyDescent="0.3"/>
  <cols>
    <col min="1" max="18" width="25.6640625" customWidth="1"/>
  </cols>
  <sheetData>
    <row r="1" spans="1:18" ht="40.049999999999997" customHeight="1" x14ac:dyDescent="0.3">
      <c r="A1" s="8" t="s">
        <v>0</v>
      </c>
      <c r="B1" s="8"/>
      <c r="C1" s="8"/>
      <c r="D1" s="8"/>
      <c r="E1" s="8"/>
      <c r="F1" s="8"/>
      <c r="G1" s="8"/>
      <c r="H1" s="8"/>
      <c r="I1" s="8"/>
      <c r="J1" s="8"/>
      <c r="K1" s="8"/>
      <c r="L1" s="8"/>
      <c r="M1" s="8"/>
      <c r="N1" s="8"/>
      <c r="O1" s="8"/>
      <c r="P1" s="8"/>
      <c r="Q1" s="8"/>
      <c r="R1" s="8"/>
    </row>
    <row r="2" spans="1:18" ht="70.05" customHeight="1" x14ac:dyDescent="0.3">
      <c r="A2" s="1" t="s">
        <v>3</v>
      </c>
      <c r="B2" s="1" t="s">
        <v>458</v>
      </c>
      <c r="C2" s="1" t="s">
        <v>459</v>
      </c>
      <c r="D2" s="1" t="s">
        <v>460</v>
      </c>
      <c r="E2" s="1" t="s">
        <v>7</v>
      </c>
      <c r="F2" s="1" t="s">
        <v>461</v>
      </c>
      <c r="G2" s="1" t="s">
        <v>9</v>
      </c>
      <c r="H2" s="1" t="s">
        <v>10</v>
      </c>
      <c r="I2" s="1" t="s">
        <v>13</v>
      </c>
      <c r="J2" s="1" t="s">
        <v>15</v>
      </c>
      <c r="K2" s="1" t="s">
        <v>463</v>
      </c>
      <c r="L2" s="1" t="s">
        <v>27</v>
      </c>
      <c r="M2" s="1" t="s">
        <v>21</v>
      </c>
      <c r="N2" s="1" t="s">
        <v>464</v>
      </c>
      <c r="O2" s="1" t="s">
        <v>29</v>
      </c>
      <c r="P2" s="1" t="s">
        <v>465</v>
      </c>
      <c r="Q2" s="1" t="s">
        <v>24</v>
      </c>
      <c r="R2" s="1" t="s">
        <v>532</v>
      </c>
    </row>
    <row r="3" spans="1:18" ht="70.05" customHeight="1" x14ac:dyDescent="0.3">
      <c r="A3" s="3" t="s">
        <v>533</v>
      </c>
      <c r="B3" s="3" t="s">
        <v>534</v>
      </c>
      <c r="C3" s="3" t="s">
        <v>535</v>
      </c>
      <c r="D3" s="3" t="s">
        <v>536</v>
      </c>
      <c r="E3" s="3" t="s">
        <v>93</v>
      </c>
      <c r="F3" s="3" t="s">
        <v>59</v>
      </c>
      <c r="G3" s="3" t="s">
        <v>56</v>
      </c>
      <c r="H3" s="3" t="s">
        <v>537</v>
      </c>
      <c r="I3" s="4">
        <v>22526692745</v>
      </c>
      <c r="J3" s="4">
        <v>0</v>
      </c>
      <c r="K3" s="4">
        <v>22526692745</v>
      </c>
      <c r="L3" s="5">
        <v>41201</v>
      </c>
      <c r="M3" s="5"/>
      <c r="N3" s="5">
        <v>41829</v>
      </c>
      <c r="O3" s="5">
        <v>42072</v>
      </c>
      <c r="P3" s="4">
        <v>100</v>
      </c>
      <c r="Q3" s="4">
        <v>99.82</v>
      </c>
      <c r="R3" s="3"/>
    </row>
    <row r="4" spans="1:18" ht="70.05" customHeight="1" x14ac:dyDescent="0.3">
      <c r="A4" s="3" t="s">
        <v>538</v>
      </c>
      <c r="B4" s="3" t="s">
        <v>539</v>
      </c>
      <c r="C4" s="3" t="s">
        <v>540</v>
      </c>
      <c r="D4" s="3" t="s">
        <v>541</v>
      </c>
      <c r="E4" s="3" t="s">
        <v>93</v>
      </c>
      <c r="F4" s="3" t="s">
        <v>216</v>
      </c>
      <c r="G4" s="3" t="s">
        <v>56</v>
      </c>
      <c r="H4" s="3" t="s">
        <v>471</v>
      </c>
      <c r="I4" s="4">
        <v>924979909</v>
      </c>
      <c r="J4" s="4">
        <v>30000000</v>
      </c>
      <c r="K4" s="4">
        <v>954979909</v>
      </c>
      <c r="L4" s="5">
        <v>41191</v>
      </c>
      <c r="M4" s="5"/>
      <c r="N4" s="5">
        <v>41304</v>
      </c>
      <c r="O4" s="5">
        <v>41452</v>
      </c>
      <c r="P4" s="4">
        <v>100</v>
      </c>
      <c r="Q4" s="4">
        <v>0</v>
      </c>
      <c r="R4" s="3"/>
    </row>
    <row r="5" spans="1:18" ht="70.05" customHeight="1" x14ac:dyDescent="0.3">
      <c r="A5" s="3" t="s">
        <v>542</v>
      </c>
      <c r="B5" s="3" t="s">
        <v>543</v>
      </c>
      <c r="C5" s="3" t="s">
        <v>544</v>
      </c>
      <c r="D5" s="3" t="s">
        <v>545</v>
      </c>
      <c r="E5" s="3" t="s">
        <v>93</v>
      </c>
      <c r="F5" s="3" t="s">
        <v>216</v>
      </c>
      <c r="G5" s="3" t="s">
        <v>56</v>
      </c>
      <c r="H5" s="3" t="s">
        <v>537</v>
      </c>
      <c r="I5" s="4">
        <v>999998309</v>
      </c>
      <c r="J5" s="4">
        <v>11000000</v>
      </c>
      <c r="K5" s="4">
        <v>1010998309</v>
      </c>
      <c r="L5" s="5">
        <v>41191</v>
      </c>
      <c r="M5" s="5"/>
      <c r="N5" s="5">
        <v>41276</v>
      </c>
      <c r="O5" s="5">
        <v>41355</v>
      </c>
      <c r="P5" s="4">
        <v>98.9</v>
      </c>
      <c r="Q5" s="4">
        <v>98.2</v>
      </c>
      <c r="R5" s="3"/>
    </row>
    <row r="6" spans="1:18" ht="70.05" customHeight="1" x14ac:dyDescent="0.3">
      <c r="A6" s="3" t="s">
        <v>546</v>
      </c>
      <c r="B6" s="3" t="s">
        <v>547</v>
      </c>
      <c r="C6" s="3" t="s">
        <v>548</v>
      </c>
      <c r="D6" s="3" t="s">
        <v>549</v>
      </c>
      <c r="E6" s="3" t="s">
        <v>93</v>
      </c>
      <c r="F6" s="3" t="s">
        <v>59</v>
      </c>
      <c r="G6" s="3" t="s">
        <v>56</v>
      </c>
      <c r="H6" s="3" t="s">
        <v>537</v>
      </c>
      <c r="I6" s="4">
        <v>16567304387</v>
      </c>
      <c r="J6" s="4">
        <v>0</v>
      </c>
      <c r="K6" s="4">
        <v>16567304387</v>
      </c>
      <c r="L6" s="5">
        <v>41533</v>
      </c>
      <c r="M6" s="5"/>
      <c r="N6" s="5">
        <v>41537</v>
      </c>
      <c r="O6" s="5">
        <v>41669</v>
      </c>
      <c r="P6" s="4">
        <v>100</v>
      </c>
      <c r="Q6" s="4">
        <v>99.98</v>
      </c>
      <c r="R6" s="3"/>
    </row>
    <row r="7" spans="1:18" ht="70.05" customHeight="1" x14ac:dyDescent="0.3">
      <c r="A7" s="3" t="s">
        <v>550</v>
      </c>
      <c r="B7" s="3" t="s">
        <v>543</v>
      </c>
      <c r="C7" s="3" t="s">
        <v>551</v>
      </c>
      <c r="D7" s="3" t="s">
        <v>552</v>
      </c>
      <c r="E7" s="3" t="s">
        <v>93</v>
      </c>
      <c r="F7" s="3" t="s">
        <v>553</v>
      </c>
      <c r="G7" s="3" t="s">
        <v>56</v>
      </c>
      <c r="H7" s="3" t="s">
        <v>471</v>
      </c>
      <c r="I7" s="4">
        <v>12429000000</v>
      </c>
      <c r="J7" s="4">
        <v>159110083</v>
      </c>
      <c r="K7" s="4">
        <v>12588110083</v>
      </c>
      <c r="L7" s="5">
        <v>41907</v>
      </c>
      <c r="M7" s="5"/>
      <c r="N7" s="5">
        <v>42821</v>
      </c>
      <c r="O7" s="5">
        <v>42226</v>
      </c>
      <c r="P7" s="4">
        <v>100</v>
      </c>
      <c r="Q7" s="4">
        <v>99.51</v>
      </c>
      <c r="R7" s="3"/>
    </row>
    <row r="8" spans="1:18" ht="70.05" customHeight="1" x14ac:dyDescent="0.3">
      <c r="A8" s="3" t="s">
        <v>554</v>
      </c>
      <c r="B8" s="3" t="s">
        <v>555</v>
      </c>
      <c r="C8" s="3" t="s">
        <v>556</v>
      </c>
      <c r="D8" s="3" t="s">
        <v>557</v>
      </c>
      <c r="E8" s="3" t="s">
        <v>354</v>
      </c>
      <c r="F8" s="3" t="s">
        <v>59</v>
      </c>
      <c r="G8" s="3" t="s">
        <v>85</v>
      </c>
      <c r="H8" s="3" t="s">
        <v>487</v>
      </c>
      <c r="I8" s="4">
        <v>14996018261</v>
      </c>
      <c r="J8" s="4">
        <v>0</v>
      </c>
      <c r="K8" s="4">
        <v>14996018261</v>
      </c>
      <c r="L8" s="5">
        <v>41376</v>
      </c>
      <c r="M8" s="5"/>
      <c r="N8" s="5">
        <v>41380</v>
      </c>
      <c r="O8" s="5">
        <v>41676</v>
      </c>
      <c r="P8" s="4">
        <v>45.35</v>
      </c>
      <c r="Q8" s="4">
        <v>49.54</v>
      </c>
      <c r="R8" s="3"/>
    </row>
    <row r="9" spans="1:18" ht="70.05" customHeight="1" x14ac:dyDescent="0.3">
      <c r="A9" s="3" t="s">
        <v>558</v>
      </c>
      <c r="B9" s="3" t="s">
        <v>559</v>
      </c>
      <c r="C9" s="3" t="s">
        <v>560</v>
      </c>
      <c r="D9" s="3" t="s">
        <v>561</v>
      </c>
      <c r="E9" s="3" t="s">
        <v>93</v>
      </c>
      <c r="F9" s="3" t="s">
        <v>562</v>
      </c>
      <c r="G9" s="3" t="s">
        <v>56</v>
      </c>
      <c r="H9" s="3" t="s">
        <v>481</v>
      </c>
      <c r="I9" s="4">
        <v>14913362760</v>
      </c>
      <c r="J9" s="4">
        <v>0</v>
      </c>
      <c r="K9" s="4">
        <v>14913362760</v>
      </c>
      <c r="L9" s="5">
        <v>41907</v>
      </c>
      <c r="M9" s="5"/>
      <c r="N9" s="5">
        <v>42990</v>
      </c>
      <c r="O9" s="5">
        <v>42023</v>
      </c>
      <c r="P9" s="4">
        <v>99.99</v>
      </c>
      <c r="Q9" s="4">
        <v>99.56</v>
      </c>
      <c r="R9" s="3"/>
    </row>
    <row r="10" spans="1:18" ht="70.05" customHeight="1" x14ac:dyDescent="0.3">
      <c r="A10" s="3" t="s">
        <v>563</v>
      </c>
      <c r="B10" s="3" t="s">
        <v>564</v>
      </c>
      <c r="C10" s="3" t="s">
        <v>565</v>
      </c>
      <c r="D10" s="3" t="s">
        <v>566</v>
      </c>
      <c r="E10" s="3" t="s">
        <v>93</v>
      </c>
      <c r="F10" s="3" t="s">
        <v>567</v>
      </c>
      <c r="G10" s="3" t="s">
        <v>56</v>
      </c>
      <c r="H10" s="3" t="s">
        <v>471</v>
      </c>
      <c r="I10" s="4">
        <v>7037696704</v>
      </c>
      <c r="J10" s="4">
        <v>700920310</v>
      </c>
      <c r="K10" s="4">
        <v>7738617014</v>
      </c>
      <c r="L10" s="5">
        <v>41907</v>
      </c>
      <c r="M10" s="5"/>
      <c r="N10" s="5">
        <v>42006</v>
      </c>
      <c r="O10" s="5">
        <v>42060</v>
      </c>
      <c r="P10" s="4">
        <v>100</v>
      </c>
      <c r="Q10" s="4">
        <v>85.88</v>
      </c>
      <c r="R10" s="3"/>
    </row>
    <row r="11" spans="1:18" ht="70.05" customHeight="1" x14ac:dyDescent="0.3">
      <c r="A11" s="3" t="s">
        <v>568</v>
      </c>
      <c r="B11" s="3" t="s">
        <v>569</v>
      </c>
      <c r="C11" s="3" t="s">
        <v>570</v>
      </c>
      <c r="D11" s="3" t="s">
        <v>571</v>
      </c>
      <c r="E11" s="3" t="s">
        <v>67</v>
      </c>
      <c r="F11" s="3" t="s">
        <v>105</v>
      </c>
      <c r="G11" s="3" t="s">
        <v>56</v>
      </c>
      <c r="H11" s="3" t="s">
        <v>471</v>
      </c>
      <c r="I11" s="4">
        <v>13800000000</v>
      </c>
      <c r="J11" s="4">
        <v>2151400000</v>
      </c>
      <c r="K11" s="4">
        <v>15951400000</v>
      </c>
      <c r="L11" s="5">
        <v>41789</v>
      </c>
      <c r="M11" s="5"/>
      <c r="N11" s="5">
        <v>44936</v>
      </c>
      <c r="O11" s="5">
        <v>42128</v>
      </c>
      <c r="P11" s="4">
        <v>95.56</v>
      </c>
      <c r="Q11" s="4">
        <v>89.9</v>
      </c>
      <c r="R11" s="3"/>
    </row>
    <row r="12" spans="1:18" ht="70.05" customHeight="1" x14ac:dyDescent="0.3">
      <c r="A12" s="3" t="s">
        <v>572</v>
      </c>
      <c r="B12" s="3" t="s">
        <v>573</v>
      </c>
      <c r="C12" s="3" t="s">
        <v>574</v>
      </c>
      <c r="D12" s="3" t="s">
        <v>575</v>
      </c>
      <c r="E12" s="3" t="s">
        <v>93</v>
      </c>
      <c r="F12" s="3" t="s">
        <v>576</v>
      </c>
      <c r="G12" s="3" t="s">
        <v>56</v>
      </c>
      <c r="H12" s="3" t="s">
        <v>471</v>
      </c>
      <c r="I12" s="4">
        <v>16094650077</v>
      </c>
      <c r="J12" s="4">
        <v>312767700</v>
      </c>
      <c r="K12" s="4">
        <v>16407417777</v>
      </c>
      <c r="L12" s="5">
        <v>43389</v>
      </c>
      <c r="M12" s="5"/>
      <c r="N12" s="5">
        <v>43495</v>
      </c>
      <c r="O12" s="5">
        <v>43865</v>
      </c>
      <c r="P12" s="4">
        <v>99.69</v>
      </c>
      <c r="Q12" s="4">
        <v>97.78</v>
      </c>
      <c r="R12" s="3"/>
    </row>
    <row r="13" spans="1:18" ht="70.05" customHeight="1" x14ac:dyDescent="0.3">
      <c r="A13" s="3" t="s">
        <v>577</v>
      </c>
      <c r="B13" s="3" t="s">
        <v>578</v>
      </c>
      <c r="C13" s="3" t="s">
        <v>579</v>
      </c>
      <c r="D13" s="3" t="s">
        <v>580</v>
      </c>
      <c r="E13" s="3" t="s">
        <v>93</v>
      </c>
      <c r="F13" s="3" t="s">
        <v>581</v>
      </c>
      <c r="G13" s="3" t="s">
        <v>56</v>
      </c>
      <c r="H13" s="3" t="s">
        <v>582</v>
      </c>
      <c r="I13" s="4">
        <v>54337268559</v>
      </c>
      <c r="J13" s="4">
        <v>8559008426</v>
      </c>
      <c r="K13" s="4">
        <v>62896276985</v>
      </c>
      <c r="L13" s="5">
        <v>43165</v>
      </c>
      <c r="M13" s="5"/>
      <c r="N13" s="5">
        <v>43171</v>
      </c>
      <c r="O13" s="5">
        <v>43410</v>
      </c>
      <c r="P13" s="4">
        <v>100</v>
      </c>
      <c r="Q13" s="4">
        <v>99.87</v>
      </c>
      <c r="R13" s="3"/>
    </row>
    <row r="14" spans="1:18" ht="70.05" customHeight="1" x14ac:dyDescent="0.3">
      <c r="A14" s="3" t="s">
        <v>583</v>
      </c>
      <c r="B14" s="3" t="s">
        <v>584</v>
      </c>
      <c r="C14" s="3" t="s">
        <v>585</v>
      </c>
      <c r="D14" s="3" t="s">
        <v>586</v>
      </c>
      <c r="E14" s="3" t="s">
        <v>93</v>
      </c>
      <c r="F14" s="3" t="s">
        <v>587</v>
      </c>
      <c r="G14" s="3" t="s">
        <v>85</v>
      </c>
      <c r="H14" s="3" t="s">
        <v>471</v>
      </c>
      <c r="I14" s="4">
        <v>5261488233</v>
      </c>
      <c r="J14" s="4">
        <v>100000000</v>
      </c>
      <c r="K14" s="4">
        <v>5361488233</v>
      </c>
      <c r="L14" s="5">
        <v>43636</v>
      </c>
      <c r="M14" s="5"/>
      <c r="N14" s="5">
        <v>43955</v>
      </c>
      <c r="O14" s="5">
        <v>44138</v>
      </c>
      <c r="P14" s="4">
        <v>97.82</v>
      </c>
      <c r="Q14" s="4">
        <v>95.45</v>
      </c>
      <c r="R14" s="3"/>
    </row>
    <row r="15" spans="1:18" ht="70.05" customHeight="1" x14ac:dyDescent="0.3">
      <c r="A15" s="3" t="s">
        <v>588</v>
      </c>
      <c r="B15" s="3" t="s">
        <v>589</v>
      </c>
      <c r="C15" s="3" t="s">
        <v>590</v>
      </c>
      <c r="D15" s="3" t="s">
        <v>591</v>
      </c>
      <c r="E15" s="3" t="s">
        <v>137</v>
      </c>
      <c r="F15" s="3" t="s">
        <v>59</v>
      </c>
      <c r="G15" s="3" t="s">
        <v>56</v>
      </c>
      <c r="H15" s="3" t="s">
        <v>471</v>
      </c>
      <c r="I15" s="4">
        <v>8077068482</v>
      </c>
      <c r="J15" s="4">
        <v>0</v>
      </c>
      <c r="K15" s="4">
        <v>8077068482</v>
      </c>
      <c r="L15" s="5">
        <v>43829</v>
      </c>
      <c r="M15" s="5"/>
      <c r="N15" s="5">
        <v>43843</v>
      </c>
      <c r="O15" s="5">
        <v>44042</v>
      </c>
      <c r="P15" s="4">
        <v>99.99</v>
      </c>
      <c r="Q15" s="4">
        <v>99.97</v>
      </c>
      <c r="R15" s="3"/>
    </row>
    <row r="16" spans="1:18" ht="70.05" customHeight="1" x14ac:dyDescent="0.3">
      <c r="A16" s="3" t="s">
        <v>592</v>
      </c>
      <c r="B16" s="3" t="s">
        <v>593</v>
      </c>
      <c r="C16" s="3" t="s">
        <v>594</v>
      </c>
      <c r="D16" s="3" t="s">
        <v>595</v>
      </c>
      <c r="E16" s="3" t="s">
        <v>67</v>
      </c>
      <c r="F16" s="3" t="s">
        <v>105</v>
      </c>
      <c r="G16" s="3" t="s">
        <v>85</v>
      </c>
      <c r="H16" s="3" t="s">
        <v>481</v>
      </c>
      <c r="I16" s="4">
        <v>7750000000</v>
      </c>
      <c r="J16" s="4">
        <v>0</v>
      </c>
      <c r="K16" s="4">
        <v>7750000000</v>
      </c>
      <c r="L16" s="5">
        <v>43781</v>
      </c>
      <c r="M16" s="5"/>
      <c r="N16" s="5">
        <v>43809</v>
      </c>
      <c r="O16" s="5">
        <v>43831</v>
      </c>
      <c r="P16" s="4">
        <v>97.9</v>
      </c>
      <c r="Q16" s="4">
        <v>97.25</v>
      </c>
      <c r="R16" s="3"/>
    </row>
    <row r="17" spans="1:18" ht="70.05" customHeight="1" x14ac:dyDescent="0.3">
      <c r="A17" s="3" t="s">
        <v>596</v>
      </c>
      <c r="B17" s="3" t="s">
        <v>597</v>
      </c>
      <c r="C17" s="3" t="s">
        <v>598</v>
      </c>
      <c r="D17" s="3" t="s">
        <v>599</v>
      </c>
      <c r="E17" s="3" t="s">
        <v>67</v>
      </c>
      <c r="F17" s="3" t="s">
        <v>105</v>
      </c>
      <c r="G17" s="3" t="s">
        <v>85</v>
      </c>
      <c r="H17" s="3" t="s">
        <v>517</v>
      </c>
      <c r="I17" s="4">
        <v>1027100000</v>
      </c>
      <c r="J17" s="4">
        <v>100575000</v>
      </c>
      <c r="K17" s="4">
        <v>1127675000</v>
      </c>
      <c r="L17" s="5">
        <v>43781</v>
      </c>
      <c r="M17" s="5"/>
      <c r="N17" s="5">
        <v>43948</v>
      </c>
      <c r="O17" s="5">
        <v>44223</v>
      </c>
      <c r="P17" s="4">
        <v>96.9</v>
      </c>
      <c r="Q17" s="4">
        <v>97.16</v>
      </c>
      <c r="R17" s="3"/>
    </row>
    <row r="18" spans="1:18" ht="70.05" customHeight="1" x14ac:dyDescent="0.3">
      <c r="A18" s="3" t="s">
        <v>600</v>
      </c>
      <c r="B18" s="3" t="s">
        <v>601</v>
      </c>
      <c r="C18" s="3" t="s">
        <v>602</v>
      </c>
      <c r="D18" s="3" t="s">
        <v>603</v>
      </c>
      <c r="E18" s="3" t="s">
        <v>67</v>
      </c>
      <c r="F18" s="3" t="s">
        <v>105</v>
      </c>
      <c r="G18" s="3" t="s">
        <v>85</v>
      </c>
      <c r="H18" s="3" t="s">
        <v>481</v>
      </c>
      <c r="I18" s="4">
        <v>9491491960</v>
      </c>
      <c r="J18" s="4">
        <v>443750000</v>
      </c>
      <c r="K18" s="4">
        <v>9935241960</v>
      </c>
      <c r="L18" s="5">
        <v>43781</v>
      </c>
      <c r="M18" s="5"/>
      <c r="N18" s="5">
        <v>43872</v>
      </c>
      <c r="O18" s="5">
        <v>43979</v>
      </c>
      <c r="P18" s="4">
        <v>85.67</v>
      </c>
      <c r="Q18" s="4">
        <v>86.62</v>
      </c>
      <c r="R18" s="3"/>
    </row>
    <row r="19" spans="1:18" ht="70.05" customHeight="1" x14ac:dyDescent="0.3">
      <c r="A19" s="3" t="s">
        <v>604</v>
      </c>
      <c r="B19" s="3" t="s">
        <v>605</v>
      </c>
      <c r="C19" s="3" t="s">
        <v>606</v>
      </c>
      <c r="D19" s="3" t="s">
        <v>607</v>
      </c>
      <c r="E19" s="3" t="s">
        <v>67</v>
      </c>
      <c r="F19" s="3" t="s">
        <v>105</v>
      </c>
      <c r="G19" s="3" t="s">
        <v>85</v>
      </c>
      <c r="H19" s="3" t="s">
        <v>481</v>
      </c>
      <c r="I19" s="4">
        <v>4024500000</v>
      </c>
      <c r="J19" s="4">
        <v>177500000</v>
      </c>
      <c r="K19" s="4">
        <v>4202000000</v>
      </c>
      <c r="L19" s="5">
        <v>43781</v>
      </c>
      <c r="M19" s="5"/>
      <c r="N19" s="5">
        <v>43812</v>
      </c>
      <c r="O19" s="5">
        <v>43958</v>
      </c>
      <c r="P19" s="4">
        <v>96.81</v>
      </c>
      <c r="Q19" s="4">
        <v>77.59</v>
      </c>
      <c r="R19" s="3"/>
    </row>
    <row r="20" spans="1:18" ht="70.05" customHeight="1" x14ac:dyDescent="0.3">
      <c r="A20" s="3" t="s">
        <v>608</v>
      </c>
      <c r="B20" s="3" t="s">
        <v>609</v>
      </c>
      <c r="C20" s="3" t="s">
        <v>610</v>
      </c>
      <c r="D20" s="3" t="s">
        <v>611</v>
      </c>
      <c r="E20" s="3" t="s">
        <v>67</v>
      </c>
      <c r="F20" s="3" t="s">
        <v>70</v>
      </c>
      <c r="G20" s="3" t="s">
        <v>85</v>
      </c>
      <c r="H20" s="3" t="s">
        <v>481</v>
      </c>
      <c r="I20" s="4">
        <v>20233937500</v>
      </c>
      <c r="J20" s="4">
        <v>928127000</v>
      </c>
      <c r="K20" s="4">
        <v>21162064500</v>
      </c>
      <c r="L20" s="5">
        <v>43781</v>
      </c>
      <c r="M20" s="5"/>
      <c r="N20" s="5">
        <v>43902</v>
      </c>
      <c r="O20" s="5">
        <v>43943</v>
      </c>
      <c r="P20" s="4">
        <v>82.93</v>
      </c>
      <c r="Q20" s="4">
        <v>181.2</v>
      </c>
      <c r="R20" s="3"/>
    </row>
    <row r="21" spans="1:18" ht="70.05" customHeight="1" x14ac:dyDescent="0.3">
      <c r="A21" s="3" t="s">
        <v>612</v>
      </c>
      <c r="B21" s="3" t="s">
        <v>613</v>
      </c>
      <c r="C21" s="3" t="s">
        <v>614</v>
      </c>
      <c r="D21" s="3" t="s">
        <v>615</v>
      </c>
      <c r="E21" s="3" t="s">
        <v>67</v>
      </c>
      <c r="F21" s="3" t="s">
        <v>70</v>
      </c>
      <c r="G21" s="3" t="s">
        <v>85</v>
      </c>
      <c r="H21" s="3" t="s">
        <v>481</v>
      </c>
      <c r="I21" s="4">
        <v>6524500000</v>
      </c>
      <c r="J21" s="4">
        <v>0</v>
      </c>
      <c r="K21" s="4">
        <v>6524500000</v>
      </c>
      <c r="L21" s="5">
        <v>43781</v>
      </c>
      <c r="M21" s="5"/>
      <c r="N21" s="5">
        <v>43969</v>
      </c>
      <c r="O21" s="5">
        <v>43949</v>
      </c>
      <c r="P21" s="4">
        <v>89.97</v>
      </c>
      <c r="Q21" s="4">
        <v>89.3</v>
      </c>
      <c r="R21" s="3"/>
    </row>
    <row r="22" spans="1:18" ht="70.05" customHeight="1" x14ac:dyDescent="0.3">
      <c r="A22" s="3" t="s">
        <v>616</v>
      </c>
      <c r="B22" s="3" t="s">
        <v>617</v>
      </c>
      <c r="C22" s="3" t="s">
        <v>618</v>
      </c>
      <c r="D22" s="3" t="s">
        <v>619</v>
      </c>
      <c r="E22" s="3" t="s">
        <v>67</v>
      </c>
      <c r="F22" s="3" t="s">
        <v>105</v>
      </c>
      <c r="G22" s="3" t="s">
        <v>85</v>
      </c>
      <c r="H22" s="3" t="s">
        <v>481</v>
      </c>
      <c r="I22" s="4">
        <v>2500000000</v>
      </c>
      <c r="J22" s="4">
        <v>88750000</v>
      </c>
      <c r="K22" s="4">
        <v>2588750000</v>
      </c>
      <c r="L22" s="5">
        <v>43812</v>
      </c>
      <c r="M22" s="5"/>
      <c r="N22" s="5">
        <v>43902</v>
      </c>
      <c r="O22" s="5">
        <v>43938</v>
      </c>
      <c r="P22" s="4">
        <v>97.52</v>
      </c>
      <c r="Q22" s="4">
        <v>97.57</v>
      </c>
      <c r="R22" s="3"/>
    </row>
    <row r="23" spans="1:18" ht="70.05" customHeight="1" x14ac:dyDescent="0.3">
      <c r="A23" s="3" t="s">
        <v>620</v>
      </c>
      <c r="B23" s="3" t="s">
        <v>621</v>
      </c>
      <c r="C23" s="3" t="s">
        <v>622</v>
      </c>
      <c r="D23" s="3" t="s">
        <v>623</v>
      </c>
      <c r="E23" s="3" t="s">
        <v>67</v>
      </c>
      <c r="F23" s="3" t="s">
        <v>105</v>
      </c>
      <c r="G23" s="3" t="s">
        <v>85</v>
      </c>
      <c r="H23" s="3" t="s">
        <v>481</v>
      </c>
      <c r="I23" s="4">
        <v>3500000000</v>
      </c>
      <c r="J23" s="4">
        <v>654449000</v>
      </c>
      <c r="K23" s="4">
        <v>4154449000</v>
      </c>
      <c r="L23" s="5">
        <v>43812</v>
      </c>
      <c r="M23" s="5"/>
      <c r="N23" s="5">
        <v>43864</v>
      </c>
      <c r="O23" s="5">
        <v>44742</v>
      </c>
      <c r="P23" s="4">
        <v>99</v>
      </c>
      <c r="Q23" s="4">
        <v>91.85</v>
      </c>
      <c r="R23" s="3"/>
    </row>
    <row r="24" spans="1:18" ht="70.05" customHeight="1" x14ac:dyDescent="0.3">
      <c r="A24" s="3" t="s">
        <v>624</v>
      </c>
      <c r="B24" s="3" t="s">
        <v>625</v>
      </c>
      <c r="C24" s="3" t="s">
        <v>626</v>
      </c>
      <c r="D24" s="3" t="s">
        <v>627</v>
      </c>
      <c r="E24" s="3" t="s">
        <v>67</v>
      </c>
      <c r="F24" s="3" t="s">
        <v>105</v>
      </c>
      <c r="G24" s="3" t="s">
        <v>85</v>
      </c>
      <c r="H24" s="3" t="s">
        <v>481</v>
      </c>
      <c r="I24" s="4">
        <v>3250000000</v>
      </c>
      <c r="J24" s="4">
        <v>227139308</v>
      </c>
      <c r="K24" s="4">
        <v>3477139308</v>
      </c>
      <c r="L24" s="5">
        <v>43798</v>
      </c>
      <c r="M24" s="5"/>
      <c r="N24" s="5">
        <v>43882</v>
      </c>
      <c r="O24" s="5">
        <v>43957</v>
      </c>
      <c r="P24" s="4">
        <v>97.39</v>
      </c>
      <c r="Q24" s="4">
        <v>95.75</v>
      </c>
      <c r="R24" s="3"/>
    </row>
    <row r="25" spans="1:18" ht="70.05" customHeight="1" x14ac:dyDescent="0.3">
      <c r="A25" s="3" t="s">
        <v>628</v>
      </c>
      <c r="B25" s="3" t="s">
        <v>629</v>
      </c>
      <c r="C25" s="3" t="s">
        <v>630</v>
      </c>
      <c r="D25" s="3" t="s">
        <v>631</v>
      </c>
      <c r="E25" s="3" t="s">
        <v>67</v>
      </c>
      <c r="F25" s="3" t="s">
        <v>105</v>
      </c>
      <c r="G25" s="3" t="s">
        <v>85</v>
      </c>
      <c r="H25" s="3" t="s">
        <v>481</v>
      </c>
      <c r="I25" s="4">
        <v>946000000</v>
      </c>
      <c r="J25" s="4">
        <v>44375000</v>
      </c>
      <c r="K25" s="4">
        <v>990375000</v>
      </c>
      <c r="L25" s="5">
        <v>43812</v>
      </c>
      <c r="M25" s="5"/>
      <c r="N25" s="5">
        <v>44043</v>
      </c>
      <c r="O25" s="5">
        <v>43991</v>
      </c>
      <c r="P25" s="4">
        <v>97.54</v>
      </c>
      <c r="Q25" s="4">
        <v>97.23</v>
      </c>
      <c r="R25" s="3"/>
    </row>
    <row r="26" spans="1:18" ht="70.05" customHeight="1" x14ac:dyDescent="0.3">
      <c r="A26" s="3" t="s">
        <v>632</v>
      </c>
      <c r="B26" s="3" t="s">
        <v>633</v>
      </c>
      <c r="C26" s="3" t="s">
        <v>634</v>
      </c>
      <c r="D26" s="3" t="s">
        <v>635</v>
      </c>
      <c r="E26" s="3" t="s">
        <v>67</v>
      </c>
      <c r="F26" s="3" t="s">
        <v>105</v>
      </c>
      <c r="G26" s="3" t="s">
        <v>85</v>
      </c>
      <c r="H26" s="3" t="s">
        <v>481</v>
      </c>
      <c r="I26" s="4">
        <v>1943625000</v>
      </c>
      <c r="J26" s="4">
        <v>88750000</v>
      </c>
      <c r="K26" s="4">
        <v>2032375000</v>
      </c>
      <c r="L26" s="5">
        <v>43830</v>
      </c>
      <c r="M26" s="5"/>
      <c r="N26" s="5">
        <v>44025</v>
      </c>
      <c r="O26" s="5">
        <v>44046</v>
      </c>
      <c r="P26" s="4">
        <v>87.5</v>
      </c>
      <c r="Q26" s="4">
        <v>86.53</v>
      </c>
      <c r="R26" s="3"/>
    </row>
    <row r="27" spans="1:18" ht="70.05" customHeight="1" x14ac:dyDescent="0.3">
      <c r="A27" s="3" t="s">
        <v>636</v>
      </c>
      <c r="B27" s="3" t="s">
        <v>637</v>
      </c>
      <c r="C27" s="3" t="s">
        <v>638</v>
      </c>
      <c r="D27" s="3" t="s">
        <v>639</v>
      </c>
      <c r="E27" s="3" t="s">
        <v>67</v>
      </c>
      <c r="F27" s="3" t="s">
        <v>105</v>
      </c>
      <c r="G27" s="3" t="s">
        <v>85</v>
      </c>
      <c r="H27" s="3" t="s">
        <v>481</v>
      </c>
      <c r="I27" s="4">
        <v>1999999962.27</v>
      </c>
      <c r="J27" s="4">
        <v>667064931.65999985</v>
      </c>
      <c r="K27" s="4">
        <v>2667064893.9299998</v>
      </c>
      <c r="L27" s="5">
        <v>44111</v>
      </c>
      <c r="M27" s="5"/>
      <c r="N27" s="5">
        <v>44319</v>
      </c>
      <c r="O27" s="5">
        <v>44448</v>
      </c>
      <c r="P27" s="4">
        <v>86.98</v>
      </c>
      <c r="Q27" s="4">
        <v>87.69</v>
      </c>
      <c r="R27" s="3"/>
    </row>
    <row r="28" spans="1:18" ht="70.05" customHeight="1" x14ac:dyDescent="0.3">
      <c r="A28" s="3" t="s">
        <v>640</v>
      </c>
      <c r="B28" s="3" t="s">
        <v>641</v>
      </c>
      <c r="C28" s="3" t="s">
        <v>642</v>
      </c>
      <c r="D28" s="3" t="s">
        <v>643</v>
      </c>
      <c r="E28" s="3" t="s">
        <v>54</v>
      </c>
      <c r="F28" s="3" t="s">
        <v>644</v>
      </c>
      <c r="G28" s="3" t="s">
        <v>56</v>
      </c>
      <c r="H28" s="3" t="s">
        <v>471</v>
      </c>
      <c r="I28" s="4">
        <v>729826686</v>
      </c>
      <c r="J28" s="4">
        <v>465734861</v>
      </c>
      <c r="K28" s="4">
        <v>1195561547</v>
      </c>
      <c r="L28" s="5">
        <v>43825</v>
      </c>
      <c r="M28" s="5"/>
      <c r="N28" s="5">
        <v>43875</v>
      </c>
      <c r="O28" s="5">
        <v>44074</v>
      </c>
      <c r="P28" s="4">
        <v>100</v>
      </c>
      <c r="Q28" s="4">
        <v>99.24</v>
      </c>
      <c r="R28" s="3"/>
    </row>
    <row r="29" spans="1:18" ht="70.05" customHeight="1" x14ac:dyDescent="0.3">
      <c r="A29" s="3" t="s">
        <v>645</v>
      </c>
      <c r="B29" s="3" t="s">
        <v>573</v>
      </c>
      <c r="C29" s="3" t="s">
        <v>646</v>
      </c>
      <c r="D29" s="3" t="s">
        <v>647</v>
      </c>
      <c r="E29" s="3" t="s">
        <v>257</v>
      </c>
      <c r="F29" s="3" t="s">
        <v>648</v>
      </c>
      <c r="G29" s="3" t="s">
        <v>56</v>
      </c>
      <c r="H29" s="3" t="s">
        <v>471</v>
      </c>
      <c r="I29" s="4">
        <v>37141732473</v>
      </c>
      <c r="J29" s="4">
        <v>0</v>
      </c>
      <c r="K29" s="4">
        <v>37141732473</v>
      </c>
      <c r="L29" s="5">
        <v>43812</v>
      </c>
      <c r="M29" s="5"/>
      <c r="N29" s="5">
        <v>43817</v>
      </c>
      <c r="O29" s="5">
        <v>44228</v>
      </c>
      <c r="P29" s="4">
        <v>99.87</v>
      </c>
      <c r="Q29" s="4">
        <v>97.75</v>
      </c>
      <c r="R29" s="3"/>
    </row>
    <row r="30" spans="1:18" ht="70.05" customHeight="1" x14ac:dyDescent="0.3">
      <c r="A30" s="3" t="s">
        <v>649</v>
      </c>
      <c r="B30" s="3" t="s">
        <v>543</v>
      </c>
      <c r="C30" s="3" t="s">
        <v>650</v>
      </c>
      <c r="D30" s="3" t="s">
        <v>651</v>
      </c>
      <c r="E30" s="3" t="s">
        <v>93</v>
      </c>
      <c r="F30" s="3" t="s">
        <v>167</v>
      </c>
      <c r="G30" s="3" t="s">
        <v>85</v>
      </c>
      <c r="H30" s="3" t="s">
        <v>481</v>
      </c>
      <c r="I30" s="4">
        <v>22507978719</v>
      </c>
      <c r="J30" s="4">
        <v>0</v>
      </c>
      <c r="K30" s="4">
        <v>22507978719</v>
      </c>
      <c r="L30" s="5">
        <v>44536</v>
      </c>
      <c r="M30" s="5"/>
      <c r="N30" s="5">
        <v>44683</v>
      </c>
      <c r="O30" s="5">
        <v>44837</v>
      </c>
      <c r="P30" s="4">
        <v>97.89</v>
      </c>
      <c r="Q30" s="4">
        <v>93.98</v>
      </c>
      <c r="R30" s="3"/>
    </row>
    <row r="31" spans="1:18" ht="70.05" customHeight="1" x14ac:dyDescent="0.3">
      <c r="A31" s="3" t="s">
        <v>652</v>
      </c>
      <c r="B31" s="3" t="s">
        <v>653</v>
      </c>
      <c r="C31" s="3" t="s">
        <v>654</v>
      </c>
      <c r="D31" s="3" t="s">
        <v>655</v>
      </c>
      <c r="E31" s="3" t="s">
        <v>93</v>
      </c>
      <c r="F31" s="3" t="s">
        <v>656</v>
      </c>
      <c r="G31" s="3" t="s">
        <v>208</v>
      </c>
      <c r="H31" s="3" t="s">
        <v>537</v>
      </c>
      <c r="I31" s="4">
        <v>38700180208.470001</v>
      </c>
      <c r="J31" s="4">
        <v>236000000</v>
      </c>
      <c r="K31" s="4">
        <v>38936180208.470001</v>
      </c>
      <c r="L31" s="5">
        <v>44195</v>
      </c>
      <c r="M31" s="5"/>
      <c r="N31" s="5">
        <v>44952</v>
      </c>
      <c r="O31" s="5">
        <v>44595</v>
      </c>
      <c r="P31" s="4">
        <v>100</v>
      </c>
      <c r="Q31" s="4">
        <v>100</v>
      </c>
      <c r="R31" s="3"/>
    </row>
    <row r="32" spans="1:18" ht="70.05" customHeight="1" x14ac:dyDescent="0.3">
      <c r="A32" s="3" t="s">
        <v>657</v>
      </c>
      <c r="B32" s="3" t="s">
        <v>578</v>
      </c>
      <c r="C32" s="3" t="s">
        <v>658</v>
      </c>
      <c r="D32" s="3" t="s">
        <v>659</v>
      </c>
      <c r="E32" s="3" t="s">
        <v>93</v>
      </c>
      <c r="F32" s="3" t="s">
        <v>59</v>
      </c>
      <c r="G32" s="3" t="s">
        <v>56</v>
      </c>
      <c r="H32" s="3" t="s">
        <v>471</v>
      </c>
      <c r="I32" s="4">
        <v>75409582200</v>
      </c>
      <c r="J32" s="4">
        <v>0</v>
      </c>
      <c r="K32" s="4">
        <v>75409582200</v>
      </c>
      <c r="L32" s="5">
        <v>44195</v>
      </c>
      <c r="M32" s="5"/>
      <c r="N32" s="5">
        <v>44326</v>
      </c>
      <c r="O32" s="5">
        <v>44445</v>
      </c>
      <c r="P32" s="4">
        <v>99.33</v>
      </c>
      <c r="Q32" s="4">
        <v>99.73</v>
      </c>
      <c r="R32" s="3"/>
    </row>
    <row r="33" spans="1:18" ht="70.05" customHeight="1" x14ac:dyDescent="0.3">
      <c r="A33" s="3" t="s">
        <v>660</v>
      </c>
      <c r="B33" s="3" t="s">
        <v>605</v>
      </c>
      <c r="C33" s="3" t="s">
        <v>661</v>
      </c>
      <c r="D33" s="3" t="s">
        <v>662</v>
      </c>
      <c r="E33" s="3" t="s">
        <v>67</v>
      </c>
      <c r="F33" s="3" t="s">
        <v>105</v>
      </c>
      <c r="G33" s="3" t="s">
        <v>56</v>
      </c>
      <c r="H33" s="3" t="s">
        <v>537</v>
      </c>
      <c r="I33" s="4">
        <v>1998000000</v>
      </c>
      <c r="J33" s="4">
        <v>416100000</v>
      </c>
      <c r="K33" s="4">
        <v>2414100000</v>
      </c>
      <c r="L33" s="5">
        <v>43950</v>
      </c>
      <c r="M33" s="5"/>
      <c r="N33" s="5">
        <v>44001</v>
      </c>
      <c r="O33" s="5">
        <v>44133</v>
      </c>
      <c r="P33" s="4">
        <v>100</v>
      </c>
      <c r="Q33" s="4">
        <v>100</v>
      </c>
      <c r="R33" s="3"/>
    </row>
    <row r="34" spans="1:18" ht="70.05" customHeight="1" x14ac:dyDescent="0.3">
      <c r="A34" s="3" t="s">
        <v>663</v>
      </c>
      <c r="B34" s="3" t="s">
        <v>605</v>
      </c>
      <c r="C34" s="3" t="s">
        <v>664</v>
      </c>
      <c r="D34" s="3" t="s">
        <v>665</v>
      </c>
      <c r="E34" s="3" t="s">
        <v>67</v>
      </c>
      <c r="F34" s="3" t="s">
        <v>105</v>
      </c>
      <c r="G34" s="3" t="s">
        <v>56</v>
      </c>
      <c r="H34" s="3" t="s">
        <v>481</v>
      </c>
      <c r="I34" s="4">
        <v>1999306318</v>
      </c>
      <c r="J34" s="4">
        <v>1491009306.72</v>
      </c>
      <c r="K34" s="4">
        <v>3490315624.7199998</v>
      </c>
      <c r="L34" s="5">
        <v>43924</v>
      </c>
      <c r="M34" s="5"/>
      <c r="N34" s="5">
        <v>44001</v>
      </c>
      <c r="O34" s="5">
        <v>44118</v>
      </c>
      <c r="P34" s="4">
        <v>100</v>
      </c>
      <c r="Q34" s="4">
        <v>100</v>
      </c>
      <c r="R34" s="3"/>
    </row>
    <row r="35" spans="1:18" ht="70.05" customHeight="1" x14ac:dyDescent="0.3">
      <c r="A35" s="3" t="s">
        <v>666</v>
      </c>
      <c r="B35" s="3" t="s">
        <v>667</v>
      </c>
      <c r="C35" s="3" t="s">
        <v>668</v>
      </c>
      <c r="D35" s="3" t="s">
        <v>669</v>
      </c>
      <c r="E35" s="3" t="s">
        <v>67</v>
      </c>
      <c r="F35" s="3" t="s">
        <v>105</v>
      </c>
      <c r="G35" s="3" t="s">
        <v>208</v>
      </c>
      <c r="H35" s="3" t="s">
        <v>537</v>
      </c>
      <c r="I35" s="4">
        <v>1999910691</v>
      </c>
      <c r="J35" s="4">
        <v>1839271262</v>
      </c>
      <c r="K35" s="4">
        <v>3839181953</v>
      </c>
      <c r="L35" s="5">
        <v>44078</v>
      </c>
      <c r="M35" s="5"/>
      <c r="N35" s="5">
        <v>45385</v>
      </c>
      <c r="O35" s="5">
        <v>44252</v>
      </c>
      <c r="P35" s="4">
        <v>99.9</v>
      </c>
      <c r="Q35" s="4">
        <v>100</v>
      </c>
      <c r="R35" s="3"/>
    </row>
    <row r="36" spans="1:18" ht="70.05" customHeight="1" x14ac:dyDescent="0.3">
      <c r="A36" s="3" t="s">
        <v>670</v>
      </c>
      <c r="B36" s="3" t="s">
        <v>671</v>
      </c>
      <c r="C36" s="3" t="s">
        <v>672</v>
      </c>
      <c r="D36" s="3" t="s">
        <v>673</v>
      </c>
      <c r="E36" s="3" t="s">
        <v>67</v>
      </c>
      <c r="F36" s="3" t="s">
        <v>105</v>
      </c>
      <c r="G36" s="3" t="s">
        <v>85</v>
      </c>
      <c r="H36" s="3" t="s">
        <v>471</v>
      </c>
      <c r="I36" s="4">
        <v>1999433630</v>
      </c>
      <c r="J36" s="4">
        <v>931051170</v>
      </c>
      <c r="K36" s="4">
        <v>2930484800</v>
      </c>
      <c r="L36" s="5">
        <v>43924</v>
      </c>
      <c r="M36" s="5"/>
      <c r="N36" s="5">
        <v>44106</v>
      </c>
      <c r="O36" s="5">
        <v>44106</v>
      </c>
      <c r="P36" s="4">
        <v>100</v>
      </c>
      <c r="Q36" s="4">
        <v>99.14</v>
      </c>
      <c r="R36" s="3"/>
    </row>
    <row r="37" spans="1:18" ht="70.05" customHeight="1" x14ac:dyDescent="0.3">
      <c r="A37" s="3" t="s">
        <v>674</v>
      </c>
      <c r="B37" s="3" t="s">
        <v>675</v>
      </c>
      <c r="C37" s="3" t="s">
        <v>676</v>
      </c>
      <c r="D37" s="3" t="s">
        <v>677</v>
      </c>
      <c r="E37" s="3" t="s">
        <v>67</v>
      </c>
      <c r="F37" s="3" t="s">
        <v>105</v>
      </c>
      <c r="G37" s="3" t="s">
        <v>85</v>
      </c>
      <c r="H37" s="3" t="s">
        <v>537</v>
      </c>
      <c r="I37" s="4">
        <v>1999976897</v>
      </c>
      <c r="J37" s="4">
        <v>612770516</v>
      </c>
      <c r="K37" s="4">
        <v>2612747413</v>
      </c>
      <c r="L37" s="5">
        <v>44078</v>
      </c>
      <c r="M37" s="5"/>
      <c r="N37" s="5">
        <v>44179</v>
      </c>
      <c r="O37" s="5">
        <v>44229</v>
      </c>
      <c r="P37" s="4">
        <v>65.69</v>
      </c>
      <c r="Q37" s="4">
        <v>76.930000000000007</v>
      </c>
      <c r="R37" s="3"/>
    </row>
    <row r="38" spans="1:18" ht="70.05" customHeight="1" x14ac:dyDescent="0.3">
      <c r="A38" s="3" t="s">
        <v>678</v>
      </c>
      <c r="B38" s="3" t="s">
        <v>679</v>
      </c>
      <c r="C38" s="3" t="s">
        <v>680</v>
      </c>
      <c r="D38" s="3" t="s">
        <v>681</v>
      </c>
      <c r="E38" s="3" t="s">
        <v>67</v>
      </c>
      <c r="F38" s="3" t="s">
        <v>105</v>
      </c>
      <c r="G38" s="3" t="s">
        <v>56</v>
      </c>
      <c r="H38" s="3" t="s">
        <v>481</v>
      </c>
      <c r="I38" s="4">
        <v>1272365336</v>
      </c>
      <c r="J38" s="4">
        <v>643306000</v>
      </c>
      <c r="K38" s="4">
        <v>1915671336</v>
      </c>
      <c r="L38" s="5">
        <v>44078</v>
      </c>
      <c r="M38" s="5"/>
      <c r="N38" s="5"/>
      <c r="O38" s="5">
        <v>44421</v>
      </c>
      <c r="P38" s="4">
        <v>97.49</v>
      </c>
      <c r="Q38" s="4">
        <v>101.36</v>
      </c>
      <c r="R38" s="3"/>
    </row>
    <row r="39" spans="1:18" ht="70.05" customHeight="1" x14ac:dyDescent="0.3">
      <c r="A39" s="3" t="s">
        <v>682</v>
      </c>
      <c r="B39" s="3" t="s">
        <v>683</v>
      </c>
      <c r="C39" s="3" t="s">
        <v>684</v>
      </c>
      <c r="D39" s="3" t="s">
        <v>685</v>
      </c>
      <c r="E39" s="3" t="s">
        <v>67</v>
      </c>
      <c r="F39" s="3" t="s">
        <v>105</v>
      </c>
      <c r="G39" s="3" t="s">
        <v>85</v>
      </c>
      <c r="H39" s="3" t="s">
        <v>537</v>
      </c>
      <c r="I39" s="4">
        <v>1999833255</v>
      </c>
      <c r="J39" s="4">
        <v>948213920</v>
      </c>
      <c r="K39" s="4">
        <v>2948047175</v>
      </c>
      <c r="L39" s="5">
        <v>44078</v>
      </c>
      <c r="M39" s="5"/>
      <c r="N39" s="5">
        <v>44113</v>
      </c>
      <c r="O39" s="5">
        <v>44408</v>
      </c>
      <c r="P39" s="4">
        <v>99.95</v>
      </c>
      <c r="Q39" s="4">
        <v>99.96</v>
      </c>
      <c r="R39" s="3"/>
    </row>
    <row r="40" spans="1:18" ht="70.05" customHeight="1" x14ac:dyDescent="0.3">
      <c r="A40" s="3" t="s">
        <v>686</v>
      </c>
      <c r="B40" s="3" t="s">
        <v>687</v>
      </c>
      <c r="C40" s="3" t="s">
        <v>688</v>
      </c>
      <c r="D40" s="3" t="s">
        <v>689</v>
      </c>
      <c r="E40" s="3" t="s">
        <v>67</v>
      </c>
      <c r="F40" s="3" t="s">
        <v>105</v>
      </c>
      <c r="G40" s="3" t="s">
        <v>56</v>
      </c>
      <c r="H40" s="3" t="s">
        <v>537</v>
      </c>
      <c r="I40" s="4">
        <v>6559568533</v>
      </c>
      <c r="J40" s="4">
        <v>288576987</v>
      </c>
      <c r="K40" s="4">
        <v>6848145520</v>
      </c>
      <c r="L40" s="5">
        <v>44159</v>
      </c>
      <c r="M40" s="5"/>
      <c r="N40" s="5">
        <v>44337</v>
      </c>
      <c r="O40" s="5">
        <v>44410</v>
      </c>
      <c r="P40" s="4">
        <v>100</v>
      </c>
      <c r="Q40" s="4">
        <v>98.42</v>
      </c>
      <c r="R40" s="3"/>
    </row>
    <row r="41" spans="1:18" ht="70.05" customHeight="1" x14ac:dyDescent="0.3">
      <c r="A41" s="3" t="s">
        <v>690</v>
      </c>
      <c r="B41" s="3" t="s">
        <v>667</v>
      </c>
      <c r="C41" s="3" t="s">
        <v>691</v>
      </c>
      <c r="D41" s="3" t="s">
        <v>692</v>
      </c>
      <c r="E41" s="3" t="s">
        <v>67</v>
      </c>
      <c r="F41" s="3" t="s">
        <v>105</v>
      </c>
      <c r="G41" s="3" t="s">
        <v>85</v>
      </c>
      <c r="H41" s="3" t="s">
        <v>517</v>
      </c>
      <c r="I41" s="4">
        <v>1998890586.73</v>
      </c>
      <c r="J41" s="4">
        <v>899995425.88000011</v>
      </c>
      <c r="K41" s="4">
        <v>2898886012.6100001</v>
      </c>
      <c r="L41" s="5">
        <v>44078</v>
      </c>
      <c r="M41" s="5"/>
      <c r="N41" s="5">
        <v>44386</v>
      </c>
      <c r="O41" s="5">
        <v>44335</v>
      </c>
      <c r="P41" s="4">
        <v>98.23</v>
      </c>
      <c r="Q41" s="4">
        <v>98.28</v>
      </c>
      <c r="R41" s="3"/>
    </row>
    <row r="42" spans="1:18" ht="70.05" customHeight="1" x14ac:dyDescent="0.3">
      <c r="A42" s="3" t="s">
        <v>693</v>
      </c>
      <c r="B42" s="3" t="s">
        <v>675</v>
      </c>
      <c r="C42" s="3" t="s">
        <v>694</v>
      </c>
      <c r="D42" s="3" t="s">
        <v>695</v>
      </c>
      <c r="E42" s="3" t="s">
        <v>67</v>
      </c>
      <c r="F42" s="3" t="s">
        <v>105</v>
      </c>
      <c r="G42" s="3" t="s">
        <v>208</v>
      </c>
      <c r="H42" s="3" t="s">
        <v>537</v>
      </c>
      <c r="I42" s="4">
        <v>5347795060</v>
      </c>
      <c r="J42" s="4">
        <v>1233838703</v>
      </c>
      <c r="K42" s="4">
        <v>6581633763</v>
      </c>
      <c r="L42" s="5">
        <v>43966</v>
      </c>
      <c r="M42" s="5"/>
      <c r="N42" s="5">
        <v>43978</v>
      </c>
      <c r="O42" s="5">
        <v>44097</v>
      </c>
      <c r="P42" s="4">
        <v>99.17</v>
      </c>
      <c r="Q42" s="4">
        <v>99.17</v>
      </c>
      <c r="R42" s="3"/>
    </row>
    <row r="43" spans="1:18" ht="70.05" customHeight="1" x14ac:dyDescent="0.3">
      <c r="A43" s="3" t="s">
        <v>696</v>
      </c>
      <c r="B43" s="3" t="s">
        <v>637</v>
      </c>
      <c r="C43" s="3" t="s">
        <v>697</v>
      </c>
      <c r="D43" s="3" t="s">
        <v>698</v>
      </c>
      <c r="E43" s="3" t="s">
        <v>67</v>
      </c>
      <c r="F43" s="3" t="s">
        <v>105</v>
      </c>
      <c r="G43" s="3" t="s">
        <v>85</v>
      </c>
      <c r="H43" s="3" t="s">
        <v>537</v>
      </c>
      <c r="I43" s="4">
        <v>1965295196.9400001</v>
      </c>
      <c r="J43" s="4">
        <v>2166508826.73</v>
      </c>
      <c r="K43" s="4">
        <v>4131804023.6700001</v>
      </c>
      <c r="L43" s="5">
        <v>44078</v>
      </c>
      <c r="M43" s="5"/>
      <c r="N43" s="5"/>
      <c r="O43" s="5">
        <v>44421</v>
      </c>
      <c r="P43" s="4">
        <v>96.47</v>
      </c>
      <c r="Q43" s="4">
        <v>102.12</v>
      </c>
      <c r="R43" s="3"/>
    </row>
    <row r="44" spans="1:18" ht="70.05" customHeight="1" x14ac:dyDescent="0.3">
      <c r="A44" s="3" t="s">
        <v>699</v>
      </c>
      <c r="B44" s="3" t="s">
        <v>675</v>
      </c>
      <c r="C44" s="3" t="s">
        <v>700</v>
      </c>
      <c r="D44" s="3" t="s">
        <v>701</v>
      </c>
      <c r="E44" s="3" t="s">
        <v>67</v>
      </c>
      <c r="F44" s="3" t="s">
        <v>105</v>
      </c>
      <c r="G44" s="3" t="s">
        <v>85</v>
      </c>
      <c r="H44" s="3" t="s">
        <v>481</v>
      </c>
      <c r="I44" s="4">
        <v>8764697664</v>
      </c>
      <c r="J44" s="4">
        <v>1543666900</v>
      </c>
      <c r="K44" s="4">
        <v>10308364564</v>
      </c>
      <c r="L44" s="5">
        <v>44432</v>
      </c>
      <c r="M44" s="5"/>
      <c r="N44" s="5">
        <v>44480</v>
      </c>
      <c r="O44" s="5">
        <v>44502</v>
      </c>
      <c r="P44" s="4">
        <v>89.91</v>
      </c>
      <c r="Q44" s="4">
        <v>90.22</v>
      </c>
      <c r="R44" s="3"/>
    </row>
    <row r="45" spans="1:18" ht="70.05" customHeight="1" x14ac:dyDescent="0.3">
      <c r="A45" s="3" t="s">
        <v>702</v>
      </c>
      <c r="B45" s="3" t="s">
        <v>703</v>
      </c>
      <c r="C45" s="3" t="s">
        <v>704</v>
      </c>
      <c r="D45" s="3" t="s">
        <v>705</v>
      </c>
      <c r="E45" s="3" t="s">
        <v>67</v>
      </c>
      <c r="F45" s="3" t="s">
        <v>105</v>
      </c>
      <c r="G45" s="3" t="s">
        <v>56</v>
      </c>
      <c r="H45" s="3" t="s">
        <v>537</v>
      </c>
      <c r="I45" s="4">
        <v>1349000868</v>
      </c>
      <c r="J45" s="4">
        <v>60240000</v>
      </c>
      <c r="K45" s="4">
        <v>1409240868</v>
      </c>
      <c r="L45" s="5">
        <v>44111</v>
      </c>
      <c r="M45" s="5"/>
      <c r="N45" s="5">
        <v>44568</v>
      </c>
      <c r="O45" s="5">
        <v>44594</v>
      </c>
      <c r="P45" s="4">
        <v>100</v>
      </c>
      <c r="Q45" s="4">
        <v>90.65</v>
      </c>
      <c r="R45" s="3"/>
    </row>
    <row r="46" spans="1:18" ht="70.05" customHeight="1" x14ac:dyDescent="0.3">
      <c r="A46" s="3" t="s">
        <v>706</v>
      </c>
      <c r="B46" s="3" t="s">
        <v>707</v>
      </c>
      <c r="C46" s="3" t="s">
        <v>708</v>
      </c>
      <c r="D46" s="3" t="s">
        <v>709</v>
      </c>
      <c r="E46" s="3" t="s">
        <v>67</v>
      </c>
      <c r="F46" s="3" t="s">
        <v>105</v>
      </c>
      <c r="G46" s="3" t="s">
        <v>56</v>
      </c>
      <c r="H46" s="3" t="s">
        <v>537</v>
      </c>
      <c r="I46" s="4">
        <v>3106000000</v>
      </c>
      <c r="J46" s="4">
        <v>50000000</v>
      </c>
      <c r="K46" s="4">
        <v>3156000000</v>
      </c>
      <c r="L46" s="5">
        <v>44159</v>
      </c>
      <c r="M46" s="5"/>
      <c r="N46" s="5">
        <v>44235</v>
      </c>
      <c r="O46" s="5">
        <v>44327</v>
      </c>
      <c r="P46" s="4">
        <v>100</v>
      </c>
      <c r="Q46" s="4">
        <v>93.32</v>
      </c>
      <c r="R46" s="3"/>
    </row>
    <row r="47" spans="1:18" ht="70.05" customHeight="1" x14ac:dyDescent="0.3">
      <c r="A47" s="3" t="s">
        <v>710</v>
      </c>
      <c r="B47" s="3" t="s">
        <v>621</v>
      </c>
      <c r="C47" s="3" t="s">
        <v>711</v>
      </c>
      <c r="D47" s="3" t="s">
        <v>712</v>
      </c>
      <c r="E47" s="3" t="s">
        <v>67</v>
      </c>
      <c r="F47" s="3" t="s">
        <v>105</v>
      </c>
      <c r="G47" s="3" t="s">
        <v>56</v>
      </c>
      <c r="H47" s="3" t="s">
        <v>517</v>
      </c>
      <c r="I47" s="4">
        <v>8995267958.5699997</v>
      </c>
      <c r="J47" s="4">
        <v>182146495.4899998</v>
      </c>
      <c r="K47" s="4">
        <v>9177414454.0599995</v>
      </c>
      <c r="L47" s="5">
        <v>44159</v>
      </c>
      <c r="M47" s="5"/>
      <c r="N47" s="5">
        <v>44263</v>
      </c>
      <c r="O47" s="5">
        <v>44365</v>
      </c>
      <c r="P47" s="4">
        <v>100</v>
      </c>
      <c r="Q47" s="4">
        <v>100</v>
      </c>
      <c r="R47" s="3"/>
    </row>
    <row r="48" spans="1:18" ht="70.05" customHeight="1" x14ac:dyDescent="0.3">
      <c r="A48" s="3" t="s">
        <v>713</v>
      </c>
      <c r="B48" s="3" t="s">
        <v>714</v>
      </c>
      <c r="C48" s="3" t="s">
        <v>715</v>
      </c>
      <c r="D48" s="3" t="s">
        <v>716</v>
      </c>
      <c r="E48" s="3" t="s">
        <v>67</v>
      </c>
      <c r="F48" s="3" t="s">
        <v>105</v>
      </c>
      <c r="G48" s="3" t="s">
        <v>85</v>
      </c>
      <c r="H48" s="3" t="s">
        <v>481</v>
      </c>
      <c r="I48" s="4">
        <v>6750000000</v>
      </c>
      <c r="J48" s="4">
        <v>170233499</v>
      </c>
      <c r="K48" s="4">
        <v>6920233499</v>
      </c>
      <c r="L48" s="5">
        <v>44330</v>
      </c>
      <c r="M48" s="5"/>
      <c r="N48" s="5">
        <v>44362</v>
      </c>
      <c r="O48" s="5">
        <v>44404</v>
      </c>
      <c r="P48" s="4">
        <v>83</v>
      </c>
      <c r="Q48" s="4">
        <v>86.25</v>
      </c>
      <c r="R48" s="3"/>
    </row>
    <row r="49" spans="1:18" ht="70.05" customHeight="1" x14ac:dyDescent="0.3">
      <c r="A49" s="3" t="s">
        <v>717</v>
      </c>
      <c r="B49" s="3" t="s">
        <v>683</v>
      </c>
      <c r="C49" s="3" t="s">
        <v>718</v>
      </c>
      <c r="D49" s="3" t="s">
        <v>719</v>
      </c>
      <c r="E49" s="3" t="s">
        <v>67</v>
      </c>
      <c r="F49" s="3" t="s">
        <v>105</v>
      </c>
      <c r="G49" s="3" t="s">
        <v>85</v>
      </c>
      <c r="H49" s="3" t="s">
        <v>537</v>
      </c>
      <c r="I49" s="4">
        <v>1998157618.8800001</v>
      </c>
      <c r="J49" s="4">
        <v>469735103.82999992</v>
      </c>
      <c r="K49" s="4">
        <v>2467892722.71</v>
      </c>
      <c r="L49" s="5">
        <v>44159</v>
      </c>
      <c r="M49" s="5"/>
      <c r="N49" s="5">
        <v>44259</v>
      </c>
      <c r="O49" s="5">
        <v>44567</v>
      </c>
      <c r="P49" s="4">
        <v>98.06</v>
      </c>
      <c r="Q49" s="4">
        <v>98.13</v>
      </c>
      <c r="R49" s="3"/>
    </row>
    <row r="50" spans="1:18" ht="70.05" customHeight="1" x14ac:dyDescent="0.3">
      <c r="A50" s="3" t="s">
        <v>720</v>
      </c>
      <c r="B50" s="3" t="s">
        <v>605</v>
      </c>
      <c r="C50" s="3" t="s">
        <v>721</v>
      </c>
      <c r="D50" s="3" t="s">
        <v>722</v>
      </c>
      <c r="E50" s="3" t="s">
        <v>67</v>
      </c>
      <c r="F50" s="3" t="s">
        <v>105</v>
      </c>
      <c r="G50" s="3" t="s">
        <v>85</v>
      </c>
      <c r="H50" s="3" t="s">
        <v>481</v>
      </c>
      <c r="I50" s="4">
        <v>2000000000</v>
      </c>
      <c r="J50" s="4">
        <v>474185221</v>
      </c>
      <c r="K50" s="4">
        <v>2474185221</v>
      </c>
      <c r="L50" s="5">
        <v>44159</v>
      </c>
      <c r="M50" s="5"/>
      <c r="N50" s="5">
        <v>44246</v>
      </c>
      <c r="O50" s="5">
        <v>44337</v>
      </c>
      <c r="P50" s="4">
        <v>100.2</v>
      </c>
      <c r="Q50" s="4">
        <v>100</v>
      </c>
      <c r="R50" s="3"/>
    </row>
    <row r="51" spans="1:18" ht="70.05" customHeight="1" x14ac:dyDescent="0.3">
      <c r="A51" s="3" t="s">
        <v>723</v>
      </c>
      <c r="B51" s="3" t="s">
        <v>724</v>
      </c>
      <c r="C51" s="3" t="s">
        <v>725</v>
      </c>
      <c r="D51" s="3" t="s">
        <v>726</v>
      </c>
      <c r="E51" s="3" t="s">
        <v>67</v>
      </c>
      <c r="F51" s="3" t="s">
        <v>105</v>
      </c>
      <c r="G51" s="3" t="s">
        <v>85</v>
      </c>
      <c r="H51" s="3" t="s">
        <v>481</v>
      </c>
      <c r="I51" s="4">
        <v>5335769261</v>
      </c>
      <c r="J51" s="4">
        <v>577300853</v>
      </c>
      <c r="K51" s="4">
        <v>5913070114</v>
      </c>
      <c r="L51" s="5">
        <v>44348</v>
      </c>
      <c r="M51" s="5"/>
      <c r="N51" s="5"/>
      <c r="O51" s="5">
        <v>44427</v>
      </c>
      <c r="P51" s="4">
        <v>65.84</v>
      </c>
      <c r="Q51" s="4">
        <v>65.83</v>
      </c>
      <c r="R51" s="3"/>
    </row>
    <row r="52" spans="1:18" ht="70.05" customHeight="1" x14ac:dyDescent="0.3">
      <c r="A52" s="3" t="s">
        <v>727</v>
      </c>
      <c r="B52" s="3" t="s">
        <v>683</v>
      </c>
      <c r="C52" s="3" t="s">
        <v>728</v>
      </c>
      <c r="D52" s="3" t="s">
        <v>729</v>
      </c>
      <c r="E52" s="3" t="s">
        <v>67</v>
      </c>
      <c r="F52" s="3" t="s">
        <v>105</v>
      </c>
      <c r="G52" s="3" t="s">
        <v>85</v>
      </c>
      <c r="H52" s="3" t="s">
        <v>537</v>
      </c>
      <c r="I52" s="4">
        <v>4940449374</v>
      </c>
      <c r="J52" s="4">
        <v>263481086</v>
      </c>
      <c r="K52" s="4">
        <v>5203930460</v>
      </c>
      <c r="L52" s="5">
        <v>44432</v>
      </c>
      <c r="M52" s="5"/>
      <c r="N52" s="5">
        <v>44480</v>
      </c>
      <c r="O52" s="5">
        <v>44517</v>
      </c>
      <c r="P52" s="4">
        <v>99.7</v>
      </c>
      <c r="Q52" s="4">
        <v>99.91</v>
      </c>
      <c r="R52" s="3"/>
    </row>
    <row r="53" spans="1:18" ht="70.05" customHeight="1" x14ac:dyDescent="0.3">
      <c r="A53" s="3" t="s">
        <v>730</v>
      </c>
      <c r="B53" s="3" t="s">
        <v>605</v>
      </c>
      <c r="C53" s="3" t="s">
        <v>731</v>
      </c>
      <c r="D53" s="3" t="s">
        <v>732</v>
      </c>
      <c r="E53" s="3" t="s">
        <v>67</v>
      </c>
      <c r="F53" s="3" t="s">
        <v>105</v>
      </c>
      <c r="G53" s="3" t="s">
        <v>56</v>
      </c>
      <c r="H53" s="3" t="s">
        <v>517</v>
      </c>
      <c r="I53" s="4">
        <v>1999924866</v>
      </c>
      <c r="J53" s="4">
        <v>1559283349</v>
      </c>
      <c r="K53" s="4">
        <v>3559208215</v>
      </c>
      <c r="L53" s="5">
        <v>44159</v>
      </c>
      <c r="M53" s="5"/>
      <c r="N53" s="5">
        <v>44246</v>
      </c>
      <c r="O53" s="5">
        <v>44341</v>
      </c>
      <c r="P53" s="4">
        <v>100.03</v>
      </c>
      <c r="Q53" s="4">
        <v>87.3</v>
      </c>
      <c r="R53" s="3"/>
    </row>
    <row r="54" spans="1:18" ht="70.05" customHeight="1" x14ac:dyDescent="0.3">
      <c r="A54" s="3" t="s">
        <v>733</v>
      </c>
      <c r="B54" s="3" t="s">
        <v>605</v>
      </c>
      <c r="C54" s="3" t="s">
        <v>734</v>
      </c>
      <c r="D54" s="3" t="s">
        <v>735</v>
      </c>
      <c r="E54" s="3" t="s">
        <v>67</v>
      </c>
      <c r="F54" s="3" t="s">
        <v>105</v>
      </c>
      <c r="G54" s="3" t="s">
        <v>85</v>
      </c>
      <c r="H54" s="3" t="s">
        <v>481</v>
      </c>
      <c r="I54" s="4">
        <v>3591118773</v>
      </c>
      <c r="J54" s="4">
        <v>177500000</v>
      </c>
      <c r="K54" s="4">
        <v>3768618773</v>
      </c>
      <c r="L54" s="5">
        <v>44330</v>
      </c>
      <c r="M54" s="5"/>
      <c r="N54" s="5">
        <v>44393</v>
      </c>
      <c r="O54" s="5">
        <v>44418</v>
      </c>
      <c r="P54" s="4">
        <v>95.18</v>
      </c>
      <c r="Q54" s="4">
        <v>84.17</v>
      </c>
      <c r="R54" s="3"/>
    </row>
    <row r="55" spans="1:18" ht="70.05" customHeight="1" x14ac:dyDescent="0.3">
      <c r="A55" s="3" t="s">
        <v>736</v>
      </c>
      <c r="B55" s="3" t="s">
        <v>605</v>
      </c>
      <c r="C55" s="3" t="s">
        <v>737</v>
      </c>
      <c r="D55" s="3" t="s">
        <v>738</v>
      </c>
      <c r="E55" s="3" t="s">
        <v>67</v>
      </c>
      <c r="F55" s="3" t="s">
        <v>105</v>
      </c>
      <c r="G55" s="3" t="s">
        <v>56</v>
      </c>
      <c r="H55" s="3" t="s">
        <v>481</v>
      </c>
      <c r="I55" s="4">
        <v>2000000000</v>
      </c>
      <c r="J55" s="4">
        <v>1560969376</v>
      </c>
      <c r="K55" s="4">
        <v>3560969376</v>
      </c>
      <c r="L55" s="5">
        <v>44159</v>
      </c>
      <c r="M55" s="5"/>
      <c r="N55" s="5">
        <v>44246</v>
      </c>
      <c r="O55" s="5">
        <v>44337</v>
      </c>
      <c r="P55" s="4">
        <v>100.04</v>
      </c>
      <c r="Q55" s="4">
        <v>100</v>
      </c>
      <c r="R55" s="3"/>
    </row>
    <row r="56" spans="1:18" ht="70.05" customHeight="1" x14ac:dyDescent="0.3">
      <c r="A56" s="3" t="s">
        <v>739</v>
      </c>
      <c r="B56" s="3" t="s">
        <v>683</v>
      </c>
      <c r="C56" s="3" t="s">
        <v>740</v>
      </c>
      <c r="D56" s="3" t="s">
        <v>741</v>
      </c>
      <c r="E56" s="3" t="s">
        <v>67</v>
      </c>
      <c r="F56" s="3" t="s">
        <v>105</v>
      </c>
      <c r="G56" s="3" t="s">
        <v>85</v>
      </c>
      <c r="H56" s="3" t="s">
        <v>481</v>
      </c>
      <c r="I56" s="4">
        <v>1999112638.9200001</v>
      </c>
      <c r="J56" s="4">
        <v>857237428</v>
      </c>
      <c r="K56" s="4">
        <v>2856350066.9200001</v>
      </c>
      <c r="L56" s="5">
        <v>44159</v>
      </c>
      <c r="M56" s="5"/>
      <c r="N56" s="5">
        <v>44259</v>
      </c>
      <c r="O56" s="5">
        <v>44474</v>
      </c>
      <c r="P56" s="4">
        <v>99.08</v>
      </c>
      <c r="Q56" s="4">
        <v>99.46</v>
      </c>
      <c r="R56" s="3"/>
    </row>
    <row r="57" spans="1:18" ht="70.05" customHeight="1" x14ac:dyDescent="0.3">
      <c r="A57" s="3" t="s">
        <v>742</v>
      </c>
      <c r="B57" s="3" t="s">
        <v>743</v>
      </c>
      <c r="C57" s="3" t="s">
        <v>744</v>
      </c>
      <c r="D57" s="3" t="s">
        <v>745</v>
      </c>
      <c r="E57" s="3" t="s">
        <v>67</v>
      </c>
      <c r="F57" s="3" t="s">
        <v>105</v>
      </c>
      <c r="G57" s="3" t="s">
        <v>85</v>
      </c>
      <c r="H57" s="3" t="s">
        <v>481</v>
      </c>
      <c r="I57" s="4">
        <v>7500000000</v>
      </c>
      <c r="J57" s="4">
        <v>0</v>
      </c>
      <c r="K57" s="4">
        <v>7500000000</v>
      </c>
      <c r="L57" s="5">
        <v>44348</v>
      </c>
      <c r="M57" s="5"/>
      <c r="N57" s="5">
        <v>44379</v>
      </c>
      <c r="O57" s="5">
        <v>44407</v>
      </c>
      <c r="P57" s="4">
        <v>58.72</v>
      </c>
      <c r="Q57" s="4">
        <v>58.7</v>
      </c>
      <c r="R57" s="3"/>
    </row>
    <row r="58" spans="1:18" ht="70.05" customHeight="1" x14ac:dyDescent="0.3">
      <c r="A58" s="3" t="s">
        <v>746</v>
      </c>
      <c r="B58" s="3" t="s">
        <v>637</v>
      </c>
      <c r="C58" s="3" t="s">
        <v>747</v>
      </c>
      <c r="D58" s="3" t="s">
        <v>748</v>
      </c>
      <c r="E58" s="3" t="s">
        <v>67</v>
      </c>
      <c r="F58" s="3" t="s">
        <v>105</v>
      </c>
      <c r="G58" s="3" t="s">
        <v>56</v>
      </c>
      <c r="H58" s="3" t="s">
        <v>537</v>
      </c>
      <c r="I58" s="4">
        <v>1999803848</v>
      </c>
      <c r="J58" s="4">
        <v>1394426448</v>
      </c>
      <c r="K58" s="4">
        <v>3394230296</v>
      </c>
      <c r="L58" s="5">
        <v>44159</v>
      </c>
      <c r="M58" s="5"/>
      <c r="N58" s="5">
        <v>44320</v>
      </c>
      <c r="O58" s="5">
        <v>44467</v>
      </c>
      <c r="P58" s="4">
        <v>99.71</v>
      </c>
      <c r="Q58" s="4">
        <v>100.53</v>
      </c>
      <c r="R58" s="3"/>
    </row>
    <row r="59" spans="1:18" ht="70.05" customHeight="1" x14ac:dyDescent="0.3">
      <c r="A59" s="3" t="s">
        <v>749</v>
      </c>
      <c r="B59" s="3" t="s">
        <v>667</v>
      </c>
      <c r="C59" s="3" t="s">
        <v>750</v>
      </c>
      <c r="D59" s="3" t="s">
        <v>751</v>
      </c>
      <c r="E59" s="3" t="s">
        <v>67</v>
      </c>
      <c r="F59" s="3" t="s">
        <v>105</v>
      </c>
      <c r="G59" s="3" t="s">
        <v>85</v>
      </c>
      <c r="H59" s="3" t="s">
        <v>517</v>
      </c>
      <c r="I59" s="4">
        <v>1738785560</v>
      </c>
      <c r="J59" s="4">
        <v>607572471</v>
      </c>
      <c r="K59" s="4">
        <v>2346358031</v>
      </c>
      <c r="L59" s="5">
        <v>44159</v>
      </c>
      <c r="M59" s="5"/>
      <c r="N59" s="5">
        <v>44309</v>
      </c>
      <c r="O59" s="5">
        <v>44337</v>
      </c>
      <c r="P59" s="4">
        <v>61.77</v>
      </c>
      <c r="Q59" s="4">
        <v>61.03</v>
      </c>
      <c r="R59" s="3"/>
    </row>
    <row r="60" spans="1:18" ht="70.05" customHeight="1" x14ac:dyDescent="0.3">
      <c r="A60" s="3" t="s">
        <v>752</v>
      </c>
      <c r="B60" s="3" t="s">
        <v>605</v>
      </c>
      <c r="C60" s="3" t="s">
        <v>753</v>
      </c>
      <c r="D60" s="3" t="s">
        <v>754</v>
      </c>
      <c r="E60" s="3" t="s">
        <v>67</v>
      </c>
      <c r="F60" s="3" t="s">
        <v>105</v>
      </c>
      <c r="G60" s="3" t="s">
        <v>56</v>
      </c>
      <c r="H60" s="3" t="s">
        <v>481</v>
      </c>
      <c r="I60" s="4">
        <v>1999000000</v>
      </c>
      <c r="J60" s="4">
        <v>512000000</v>
      </c>
      <c r="K60" s="4">
        <v>2511000000</v>
      </c>
      <c r="L60" s="5">
        <v>44159</v>
      </c>
      <c r="M60" s="5"/>
      <c r="N60" s="5">
        <v>44246</v>
      </c>
      <c r="O60" s="5">
        <v>44340</v>
      </c>
      <c r="P60" s="4">
        <v>99.99</v>
      </c>
      <c r="Q60" s="4">
        <v>100</v>
      </c>
      <c r="R60" s="3"/>
    </row>
    <row r="61" spans="1:18" ht="70.05" customHeight="1" x14ac:dyDescent="0.3">
      <c r="A61" s="3" t="s">
        <v>755</v>
      </c>
      <c r="B61" s="3" t="s">
        <v>756</v>
      </c>
      <c r="C61" s="3" t="s">
        <v>757</v>
      </c>
      <c r="D61" s="3" t="s">
        <v>758</v>
      </c>
      <c r="E61" s="3" t="s">
        <v>67</v>
      </c>
      <c r="F61" s="3" t="s">
        <v>105</v>
      </c>
      <c r="G61" s="3" t="s">
        <v>85</v>
      </c>
      <c r="H61" s="3" t="s">
        <v>481</v>
      </c>
      <c r="I61" s="4">
        <v>1775630700</v>
      </c>
      <c r="J61" s="4">
        <v>118901400</v>
      </c>
      <c r="K61" s="4">
        <v>1894532100</v>
      </c>
      <c r="L61" s="5">
        <v>44368</v>
      </c>
      <c r="M61" s="5"/>
      <c r="N61" s="5">
        <v>44924</v>
      </c>
      <c r="O61" s="5">
        <v>44456</v>
      </c>
      <c r="P61" s="4">
        <v>94.11</v>
      </c>
      <c r="Q61" s="4">
        <v>94.38</v>
      </c>
      <c r="R61" s="3"/>
    </row>
    <row r="62" spans="1:18" ht="70.05" customHeight="1" x14ac:dyDescent="0.3">
      <c r="A62" s="3" t="s">
        <v>759</v>
      </c>
      <c r="B62" s="3" t="s">
        <v>675</v>
      </c>
      <c r="C62" s="3" t="s">
        <v>760</v>
      </c>
      <c r="D62" s="3" t="s">
        <v>761</v>
      </c>
      <c r="E62" s="3" t="s">
        <v>67</v>
      </c>
      <c r="F62" s="3" t="s">
        <v>105</v>
      </c>
      <c r="G62" s="3" t="s">
        <v>85</v>
      </c>
      <c r="H62" s="3" t="s">
        <v>481</v>
      </c>
      <c r="I62" s="4">
        <v>750000000</v>
      </c>
      <c r="J62" s="4">
        <v>168904760</v>
      </c>
      <c r="K62" s="4">
        <v>918904760</v>
      </c>
      <c r="L62" s="5">
        <v>44377</v>
      </c>
      <c r="M62" s="5"/>
      <c r="N62" s="5">
        <v>44440</v>
      </c>
      <c r="O62" s="5">
        <v>44589</v>
      </c>
      <c r="P62" s="4">
        <v>55.76</v>
      </c>
      <c r="Q62" s="4">
        <v>60.48</v>
      </c>
      <c r="R62" s="3"/>
    </row>
    <row r="63" spans="1:18" ht="70.05" customHeight="1" x14ac:dyDescent="0.3">
      <c r="A63" s="3" t="s">
        <v>762</v>
      </c>
      <c r="B63" s="3" t="s">
        <v>763</v>
      </c>
      <c r="C63" s="3" t="s">
        <v>764</v>
      </c>
      <c r="D63" s="3" t="s">
        <v>765</v>
      </c>
      <c r="E63" s="3" t="s">
        <v>67</v>
      </c>
      <c r="F63" s="3" t="s">
        <v>105</v>
      </c>
      <c r="G63" s="3" t="s">
        <v>85</v>
      </c>
      <c r="H63" s="3" t="s">
        <v>481</v>
      </c>
      <c r="I63" s="4">
        <v>2828005287</v>
      </c>
      <c r="J63" s="4">
        <v>241611863</v>
      </c>
      <c r="K63" s="4">
        <v>3069617150</v>
      </c>
      <c r="L63" s="5">
        <v>44348</v>
      </c>
      <c r="M63" s="5"/>
      <c r="N63" s="5">
        <v>44924</v>
      </c>
      <c r="O63" s="5">
        <v>44410</v>
      </c>
      <c r="P63" s="4">
        <v>94.61</v>
      </c>
      <c r="Q63" s="4">
        <v>83.98</v>
      </c>
      <c r="R63" s="3"/>
    </row>
    <row r="64" spans="1:18" ht="70.05" customHeight="1" x14ac:dyDescent="0.3">
      <c r="A64" s="3" t="s">
        <v>766</v>
      </c>
      <c r="B64" s="3" t="s">
        <v>539</v>
      </c>
      <c r="C64" s="3" t="s">
        <v>767</v>
      </c>
      <c r="D64" s="3" t="s">
        <v>768</v>
      </c>
      <c r="E64" s="3" t="s">
        <v>93</v>
      </c>
      <c r="F64" s="3" t="s">
        <v>769</v>
      </c>
      <c r="G64" s="3" t="s">
        <v>85</v>
      </c>
      <c r="H64" s="3" t="s">
        <v>487</v>
      </c>
      <c r="I64" s="4">
        <v>69047758069</v>
      </c>
      <c r="J64" s="4">
        <v>0</v>
      </c>
      <c r="K64" s="4">
        <v>69047758069</v>
      </c>
      <c r="L64" s="5">
        <v>44551</v>
      </c>
      <c r="M64" s="5"/>
      <c r="N64" s="5">
        <v>44652</v>
      </c>
      <c r="O64" s="5">
        <v>44810</v>
      </c>
      <c r="P64" s="4">
        <v>93.54</v>
      </c>
      <c r="Q64" s="4">
        <v>94.51</v>
      </c>
      <c r="R64" s="3"/>
    </row>
    <row r="65" spans="1:18" ht="70.05" customHeight="1" x14ac:dyDescent="0.3">
      <c r="A65" s="3" t="s">
        <v>770</v>
      </c>
      <c r="B65" s="3" t="s">
        <v>609</v>
      </c>
      <c r="C65" s="3" t="s">
        <v>771</v>
      </c>
      <c r="D65" s="3" t="s">
        <v>772</v>
      </c>
      <c r="E65" s="3" t="s">
        <v>67</v>
      </c>
      <c r="F65" s="3" t="s">
        <v>105</v>
      </c>
      <c r="G65" s="3" t="s">
        <v>85</v>
      </c>
      <c r="H65" s="3" t="s">
        <v>481</v>
      </c>
      <c r="I65" s="4">
        <v>17635937500</v>
      </c>
      <c r="J65" s="4">
        <v>782206000</v>
      </c>
      <c r="K65" s="4">
        <v>18418143500</v>
      </c>
      <c r="L65" s="5">
        <v>44330</v>
      </c>
      <c r="M65" s="5"/>
      <c r="N65" s="5">
        <v>44365</v>
      </c>
      <c r="O65" s="5">
        <v>44438</v>
      </c>
      <c r="P65" s="4">
        <v>81.39</v>
      </c>
      <c r="Q65" s="4">
        <v>81.650000000000006</v>
      </c>
      <c r="R65" s="3"/>
    </row>
    <row r="66" spans="1:18" ht="70.05" customHeight="1" x14ac:dyDescent="0.3">
      <c r="A66" s="3" t="s">
        <v>773</v>
      </c>
      <c r="B66" s="3" t="s">
        <v>597</v>
      </c>
      <c r="C66" s="3" t="s">
        <v>774</v>
      </c>
      <c r="D66" s="3" t="s">
        <v>775</v>
      </c>
      <c r="E66" s="3" t="s">
        <v>67</v>
      </c>
      <c r="F66" s="3" t="s">
        <v>105</v>
      </c>
      <c r="G66" s="3" t="s">
        <v>85</v>
      </c>
      <c r="H66" s="3" t="s">
        <v>481</v>
      </c>
      <c r="I66" s="4">
        <v>1309600000</v>
      </c>
      <c r="J66" s="4">
        <v>210350000</v>
      </c>
      <c r="K66" s="4">
        <v>1519950000</v>
      </c>
      <c r="L66" s="5">
        <v>44348</v>
      </c>
      <c r="M66" s="5"/>
      <c r="N66" s="5">
        <v>44924</v>
      </c>
      <c r="O66" s="5">
        <v>44466</v>
      </c>
      <c r="P66" s="4">
        <v>93.84</v>
      </c>
      <c r="Q66" s="4">
        <v>95.06</v>
      </c>
      <c r="R66" s="3"/>
    </row>
    <row r="67" spans="1:18" ht="70.05" customHeight="1" x14ac:dyDescent="0.3">
      <c r="A67" s="3" t="s">
        <v>776</v>
      </c>
      <c r="B67" s="3" t="s">
        <v>683</v>
      </c>
      <c r="C67" s="3" t="s">
        <v>777</v>
      </c>
      <c r="D67" s="3" t="s">
        <v>778</v>
      </c>
      <c r="E67" s="3" t="s">
        <v>67</v>
      </c>
      <c r="F67" s="3" t="s">
        <v>105</v>
      </c>
      <c r="G67" s="3" t="s">
        <v>85</v>
      </c>
      <c r="H67" s="3" t="s">
        <v>481</v>
      </c>
      <c r="I67" s="4">
        <v>2750000000</v>
      </c>
      <c r="J67" s="4">
        <v>25000000</v>
      </c>
      <c r="K67" s="4">
        <v>2775000000</v>
      </c>
      <c r="L67" s="5">
        <v>44384</v>
      </c>
      <c r="M67" s="5"/>
      <c r="N67" s="5">
        <v>44429</v>
      </c>
      <c r="O67" s="5">
        <v>44530</v>
      </c>
      <c r="P67" s="4">
        <v>89.45</v>
      </c>
      <c r="Q67" s="4">
        <v>96.7</v>
      </c>
      <c r="R67" s="3"/>
    </row>
    <row r="68" spans="1:18" ht="70.05" customHeight="1" x14ac:dyDescent="0.3">
      <c r="A68" s="3" t="s">
        <v>779</v>
      </c>
      <c r="B68" s="3" t="s">
        <v>621</v>
      </c>
      <c r="C68" s="3" t="s">
        <v>780</v>
      </c>
      <c r="D68" s="3" t="s">
        <v>781</v>
      </c>
      <c r="E68" s="3" t="s">
        <v>67</v>
      </c>
      <c r="F68" s="3" t="s">
        <v>105</v>
      </c>
      <c r="G68" s="3" t="s">
        <v>85</v>
      </c>
      <c r="H68" s="3" t="s">
        <v>481</v>
      </c>
      <c r="I68" s="4">
        <v>1500000000</v>
      </c>
      <c r="J68" s="4">
        <v>353734000</v>
      </c>
      <c r="K68" s="4">
        <v>1853734000</v>
      </c>
      <c r="L68" s="5">
        <v>44368</v>
      </c>
      <c r="M68" s="5"/>
      <c r="N68" s="5">
        <v>44368</v>
      </c>
      <c r="O68" s="5">
        <v>44433</v>
      </c>
      <c r="P68" s="4">
        <v>96.28</v>
      </c>
      <c r="Q68" s="4">
        <v>93.62</v>
      </c>
      <c r="R68" s="3"/>
    </row>
    <row r="69" spans="1:18" ht="70.05" customHeight="1" x14ac:dyDescent="0.3">
      <c r="A69" s="3" t="s">
        <v>782</v>
      </c>
      <c r="B69" s="3" t="s">
        <v>629</v>
      </c>
      <c r="C69" s="3" t="s">
        <v>783</v>
      </c>
      <c r="D69" s="3" t="s">
        <v>784</v>
      </c>
      <c r="E69" s="3" t="s">
        <v>67</v>
      </c>
      <c r="F69" s="3" t="s">
        <v>105</v>
      </c>
      <c r="G69" s="3" t="s">
        <v>85</v>
      </c>
      <c r="H69" s="3" t="s">
        <v>481</v>
      </c>
      <c r="I69" s="4">
        <v>1411798728</v>
      </c>
      <c r="J69" s="4">
        <v>120549808</v>
      </c>
      <c r="K69" s="4">
        <v>1532348536</v>
      </c>
      <c r="L69" s="5">
        <v>44368</v>
      </c>
      <c r="M69" s="5"/>
      <c r="N69" s="5">
        <v>44925</v>
      </c>
      <c r="O69" s="5">
        <v>44407</v>
      </c>
      <c r="P69" s="4">
        <v>96.02</v>
      </c>
      <c r="Q69" s="4">
        <v>88.96</v>
      </c>
      <c r="R69" s="3"/>
    </row>
    <row r="70" spans="1:18" ht="70.05" customHeight="1" x14ac:dyDescent="0.3">
      <c r="A70" s="3" t="s">
        <v>785</v>
      </c>
      <c r="B70" s="3" t="s">
        <v>786</v>
      </c>
      <c r="C70" s="3" t="s">
        <v>787</v>
      </c>
      <c r="D70" s="3" t="s">
        <v>788</v>
      </c>
      <c r="E70" s="3" t="s">
        <v>67</v>
      </c>
      <c r="F70" s="3" t="s">
        <v>105</v>
      </c>
      <c r="G70" s="3" t="s">
        <v>85</v>
      </c>
      <c r="H70" s="3" t="s">
        <v>481</v>
      </c>
      <c r="I70" s="4">
        <v>1999997728</v>
      </c>
      <c r="J70" s="4">
        <v>663234720</v>
      </c>
      <c r="K70" s="4">
        <v>2663232448</v>
      </c>
      <c r="L70" s="5">
        <v>44536</v>
      </c>
      <c r="M70" s="5"/>
      <c r="N70" s="5">
        <v>44533</v>
      </c>
      <c r="O70" s="5">
        <v>44713</v>
      </c>
      <c r="P70" s="4">
        <v>90.56</v>
      </c>
      <c r="Q70" s="4">
        <v>43.52</v>
      </c>
      <c r="R70" s="3"/>
    </row>
    <row r="71" spans="1:18" ht="70.05" customHeight="1" x14ac:dyDescent="0.3">
      <c r="A71" s="3" t="s">
        <v>789</v>
      </c>
      <c r="B71" s="3" t="s">
        <v>683</v>
      </c>
      <c r="C71" s="3" t="s">
        <v>790</v>
      </c>
      <c r="D71" s="3" t="s">
        <v>791</v>
      </c>
      <c r="E71" s="3" t="s">
        <v>67</v>
      </c>
      <c r="F71" s="3" t="s">
        <v>105</v>
      </c>
      <c r="G71" s="3" t="s">
        <v>85</v>
      </c>
      <c r="H71" s="3" t="s">
        <v>537</v>
      </c>
      <c r="I71" s="4">
        <v>1999667231.96</v>
      </c>
      <c r="J71" s="4">
        <v>1036153791.2</v>
      </c>
      <c r="K71" s="4">
        <v>3035821023.1599998</v>
      </c>
      <c r="L71" s="5">
        <v>44537</v>
      </c>
      <c r="M71" s="5"/>
      <c r="N71" s="5">
        <v>44606</v>
      </c>
      <c r="O71" s="5">
        <v>44721</v>
      </c>
      <c r="P71" s="4">
        <v>91.99</v>
      </c>
      <c r="Q71" s="4">
        <v>98.96</v>
      </c>
      <c r="R71" s="3"/>
    </row>
    <row r="72" spans="1:18" ht="70.05" customHeight="1" x14ac:dyDescent="0.3">
      <c r="A72" s="3" t="s">
        <v>792</v>
      </c>
      <c r="B72" s="3" t="s">
        <v>683</v>
      </c>
      <c r="C72" s="3" t="s">
        <v>793</v>
      </c>
      <c r="D72" s="3" t="s">
        <v>794</v>
      </c>
      <c r="E72" s="3" t="s">
        <v>67</v>
      </c>
      <c r="F72" s="3" t="s">
        <v>105</v>
      </c>
      <c r="G72" s="3" t="s">
        <v>208</v>
      </c>
      <c r="H72" s="3" t="s">
        <v>795</v>
      </c>
      <c r="I72" s="4">
        <v>2000000000</v>
      </c>
      <c r="J72" s="4">
        <v>896725569</v>
      </c>
      <c r="K72" s="4">
        <v>2896725569</v>
      </c>
      <c r="L72" s="5">
        <v>44537</v>
      </c>
      <c r="M72" s="5"/>
      <c r="N72" s="5">
        <v>44606</v>
      </c>
      <c r="O72" s="5">
        <v>44740</v>
      </c>
      <c r="P72" s="4">
        <v>100.01</v>
      </c>
      <c r="Q72" s="4">
        <v>99.66</v>
      </c>
      <c r="R72" s="3"/>
    </row>
    <row r="73" spans="1:18" ht="70.05" customHeight="1" x14ac:dyDescent="0.3">
      <c r="A73" s="3" t="s">
        <v>796</v>
      </c>
      <c r="B73" s="3" t="s">
        <v>637</v>
      </c>
      <c r="C73" s="3" t="s">
        <v>797</v>
      </c>
      <c r="D73" s="3" t="s">
        <v>798</v>
      </c>
      <c r="E73" s="3" t="s">
        <v>67</v>
      </c>
      <c r="F73" s="3" t="s">
        <v>105</v>
      </c>
      <c r="G73" s="3" t="s">
        <v>85</v>
      </c>
      <c r="H73" s="3" t="s">
        <v>471</v>
      </c>
      <c r="I73" s="4">
        <v>1953855779</v>
      </c>
      <c r="J73" s="4">
        <v>505920337</v>
      </c>
      <c r="K73" s="4">
        <v>2459776116</v>
      </c>
      <c r="L73" s="5">
        <v>44537</v>
      </c>
      <c r="M73" s="5"/>
      <c r="N73" s="5">
        <v>44606</v>
      </c>
      <c r="O73" s="5">
        <v>44713</v>
      </c>
      <c r="P73" s="4">
        <v>98.32</v>
      </c>
      <c r="Q73" s="4">
        <v>98.46</v>
      </c>
      <c r="R73" s="3"/>
    </row>
    <row r="74" spans="1:18" ht="70.05" customHeight="1" x14ac:dyDescent="0.3">
      <c r="A74" s="3" t="s">
        <v>799</v>
      </c>
      <c r="B74" s="3" t="s">
        <v>605</v>
      </c>
      <c r="C74" s="3" t="s">
        <v>800</v>
      </c>
      <c r="D74" s="3" t="s">
        <v>801</v>
      </c>
      <c r="E74" s="3" t="s">
        <v>67</v>
      </c>
      <c r="F74" s="3" t="s">
        <v>105</v>
      </c>
      <c r="G74" s="3" t="s">
        <v>56</v>
      </c>
      <c r="H74" s="3" t="s">
        <v>471</v>
      </c>
      <c r="I74" s="4">
        <v>4351936180</v>
      </c>
      <c r="J74" s="4">
        <v>100000000</v>
      </c>
      <c r="K74" s="4">
        <v>4451936180</v>
      </c>
      <c r="L74" s="5">
        <v>44552</v>
      </c>
      <c r="M74" s="5"/>
      <c r="N74" s="5">
        <v>44560</v>
      </c>
      <c r="O74" s="5">
        <v>44588</v>
      </c>
      <c r="P74" s="4">
        <v>100</v>
      </c>
      <c r="Q74" s="4">
        <v>99.61</v>
      </c>
      <c r="R74" s="3"/>
    </row>
    <row r="75" spans="1:18" ht="70.05" customHeight="1" x14ac:dyDescent="0.3">
      <c r="A75" s="3" t="s">
        <v>802</v>
      </c>
      <c r="B75" s="3" t="s">
        <v>605</v>
      </c>
      <c r="C75" s="3" t="s">
        <v>803</v>
      </c>
      <c r="D75" s="3" t="s">
        <v>804</v>
      </c>
      <c r="E75" s="3" t="s">
        <v>67</v>
      </c>
      <c r="F75" s="3" t="s">
        <v>105</v>
      </c>
      <c r="G75" s="3" t="s">
        <v>56</v>
      </c>
      <c r="H75" s="3" t="s">
        <v>481</v>
      </c>
      <c r="I75" s="4">
        <v>19906880779</v>
      </c>
      <c r="J75" s="4">
        <v>72000000</v>
      </c>
      <c r="K75" s="4">
        <v>19978880779</v>
      </c>
      <c r="L75" s="5">
        <v>44700</v>
      </c>
      <c r="M75" s="5"/>
      <c r="N75" s="5">
        <v>44756</v>
      </c>
      <c r="O75" s="5">
        <v>44783</v>
      </c>
      <c r="P75" s="4">
        <v>100.01</v>
      </c>
      <c r="Q75" s="4">
        <v>99.34</v>
      </c>
      <c r="R75" s="3"/>
    </row>
    <row r="76" spans="1:18" ht="70.05" customHeight="1" x14ac:dyDescent="0.3">
      <c r="A76" s="3" t="s">
        <v>805</v>
      </c>
      <c r="B76" s="3" t="s">
        <v>578</v>
      </c>
      <c r="C76" s="3" t="s">
        <v>806</v>
      </c>
      <c r="D76" s="3" t="s">
        <v>807</v>
      </c>
      <c r="E76" s="3" t="s">
        <v>257</v>
      </c>
      <c r="F76" s="3" t="s">
        <v>216</v>
      </c>
      <c r="G76" s="3" t="s">
        <v>56</v>
      </c>
      <c r="H76" s="3" t="s">
        <v>471</v>
      </c>
      <c r="I76" s="4">
        <v>3981132848.27</v>
      </c>
      <c r="J76" s="4">
        <v>0</v>
      </c>
      <c r="K76" s="4">
        <v>3981132848.27</v>
      </c>
      <c r="L76" s="5">
        <v>44509</v>
      </c>
      <c r="M76" s="5"/>
      <c r="N76" s="5">
        <v>44511</v>
      </c>
      <c r="O76" s="5">
        <v>44594</v>
      </c>
      <c r="P76" s="4">
        <v>100</v>
      </c>
      <c r="Q76" s="4">
        <v>99.86</v>
      </c>
      <c r="R76" s="3"/>
    </row>
    <row r="77" spans="1:18" ht="70.05" customHeight="1" x14ac:dyDescent="0.3">
      <c r="A77" s="3" t="s">
        <v>808</v>
      </c>
      <c r="B77" s="3" t="s">
        <v>809</v>
      </c>
      <c r="C77" s="3" t="s">
        <v>810</v>
      </c>
      <c r="D77" s="3"/>
      <c r="E77" s="3" t="s">
        <v>93</v>
      </c>
      <c r="F77" s="3" t="s">
        <v>811</v>
      </c>
      <c r="G77" s="3" t="s">
        <v>340</v>
      </c>
      <c r="H77" s="3" t="s">
        <v>531</v>
      </c>
      <c r="I77" s="4">
        <v>2407058486</v>
      </c>
      <c r="J77" s="4">
        <v>216768.82000017169</v>
      </c>
      <c r="K77" s="4">
        <v>2407275254.8200002</v>
      </c>
      <c r="L77" s="5">
        <v>44844</v>
      </c>
      <c r="M77" s="5"/>
      <c r="N77" s="5"/>
      <c r="O77" s="5"/>
      <c r="P77" s="4">
        <v>0</v>
      </c>
      <c r="Q77" s="4">
        <v>0</v>
      </c>
      <c r="R77" s="3"/>
    </row>
    <row r="78" spans="1:18" ht="70.05" customHeight="1" x14ac:dyDescent="0.3">
      <c r="A78" s="3" t="s">
        <v>812</v>
      </c>
      <c r="B78" s="3" t="s">
        <v>578</v>
      </c>
      <c r="C78" s="3" t="s">
        <v>813</v>
      </c>
      <c r="D78" s="3" t="s">
        <v>814</v>
      </c>
      <c r="E78" s="3" t="s">
        <v>93</v>
      </c>
      <c r="F78" s="3" t="s">
        <v>815</v>
      </c>
      <c r="G78" s="3" t="s">
        <v>85</v>
      </c>
      <c r="H78" s="3" t="s">
        <v>481</v>
      </c>
      <c r="I78" s="4">
        <v>45601872749</v>
      </c>
      <c r="J78" s="4">
        <v>0</v>
      </c>
      <c r="K78" s="4">
        <v>45601872749</v>
      </c>
      <c r="L78" s="5">
        <v>44560</v>
      </c>
      <c r="M78" s="5"/>
      <c r="N78" s="5">
        <v>44559</v>
      </c>
      <c r="O78" s="5">
        <v>44669</v>
      </c>
      <c r="P78" s="4">
        <v>86.14</v>
      </c>
      <c r="Q78" s="4">
        <v>92.14</v>
      </c>
      <c r="R78" s="3"/>
    </row>
    <row r="79" spans="1:18" ht="70.05" customHeight="1" x14ac:dyDescent="0.3">
      <c r="A79" s="3" t="s">
        <v>816</v>
      </c>
      <c r="B79" s="3" t="s">
        <v>817</v>
      </c>
      <c r="C79" s="3" t="s">
        <v>818</v>
      </c>
      <c r="D79" s="3" t="s">
        <v>819</v>
      </c>
      <c r="E79" s="3" t="s">
        <v>93</v>
      </c>
      <c r="F79" s="3" t="s">
        <v>96</v>
      </c>
      <c r="G79" s="3" t="s">
        <v>56</v>
      </c>
      <c r="H79" s="3" t="s">
        <v>481</v>
      </c>
      <c r="I79" s="4">
        <v>2489078661</v>
      </c>
      <c r="J79" s="4">
        <v>0</v>
      </c>
      <c r="K79" s="4">
        <v>2489078661</v>
      </c>
      <c r="L79" s="5">
        <v>44559</v>
      </c>
      <c r="M79" s="5"/>
      <c r="N79" s="5">
        <v>44559</v>
      </c>
      <c r="O79" s="5">
        <v>44810</v>
      </c>
      <c r="P79" s="4">
        <v>100</v>
      </c>
      <c r="Q79" s="4">
        <v>99.97</v>
      </c>
      <c r="R79" s="3"/>
    </row>
    <row r="80" spans="1:18" ht="70.05" customHeight="1" x14ac:dyDescent="0.3">
      <c r="A80" s="3" t="s">
        <v>820</v>
      </c>
      <c r="B80" s="3" t="s">
        <v>821</v>
      </c>
      <c r="C80" s="3" t="s">
        <v>822</v>
      </c>
      <c r="D80" s="3" t="s">
        <v>823</v>
      </c>
      <c r="E80" s="3" t="s">
        <v>93</v>
      </c>
      <c r="F80" s="3" t="s">
        <v>96</v>
      </c>
      <c r="G80" s="3" t="s">
        <v>85</v>
      </c>
      <c r="H80" s="3" t="s">
        <v>487</v>
      </c>
      <c r="I80" s="4">
        <v>18036167387.900002</v>
      </c>
      <c r="J80" s="4">
        <v>0</v>
      </c>
      <c r="K80" s="4">
        <v>18036167387.900002</v>
      </c>
      <c r="L80" s="5">
        <v>44559</v>
      </c>
      <c r="M80" s="5"/>
      <c r="N80" s="5"/>
      <c r="O80" s="5">
        <v>44708</v>
      </c>
      <c r="P80" s="4">
        <v>81.45</v>
      </c>
      <c r="Q80" s="4">
        <v>82.2</v>
      </c>
      <c r="R80" s="3"/>
    </row>
    <row r="81" spans="1:18" ht="70.05" customHeight="1" x14ac:dyDescent="0.3">
      <c r="A81" s="3" t="s">
        <v>824</v>
      </c>
      <c r="B81" s="3" t="s">
        <v>817</v>
      </c>
      <c r="C81" s="3" t="s">
        <v>825</v>
      </c>
      <c r="D81" s="3" t="s">
        <v>826</v>
      </c>
      <c r="E81" s="3" t="s">
        <v>93</v>
      </c>
      <c r="F81" s="3" t="s">
        <v>167</v>
      </c>
      <c r="G81" s="3" t="s">
        <v>85</v>
      </c>
      <c r="H81" s="3" t="s">
        <v>487</v>
      </c>
      <c r="I81" s="4">
        <v>41816156185</v>
      </c>
      <c r="J81" s="4">
        <v>0</v>
      </c>
      <c r="K81" s="4">
        <v>41816156185</v>
      </c>
      <c r="L81" s="5">
        <v>44624</v>
      </c>
      <c r="M81" s="5"/>
      <c r="N81" s="5">
        <v>44624</v>
      </c>
      <c r="O81" s="5">
        <v>44873</v>
      </c>
      <c r="P81" s="4">
        <v>64.319999999999993</v>
      </c>
      <c r="Q81" s="4">
        <v>73.13</v>
      </c>
      <c r="R81" s="3"/>
    </row>
    <row r="82" spans="1:18" ht="70.05" customHeight="1" x14ac:dyDescent="0.3">
      <c r="A82" s="3" t="s">
        <v>827</v>
      </c>
      <c r="B82" s="3" t="s">
        <v>605</v>
      </c>
      <c r="C82" s="3" t="s">
        <v>828</v>
      </c>
      <c r="D82" s="3" t="s">
        <v>829</v>
      </c>
      <c r="E82" s="3" t="s">
        <v>67</v>
      </c>
      <c r="F82" s="3" t="s">
        <v>105</v>
      </c>
      <c r="G82" s="3" t="s">
        <v>85</v>
      </c>
      <c r="H82" s="3" t="s">
        <v>481</v>
      </c>
      <c r="I82" s="4">
        <v>9606506835</v>
      </c>
      <c r="J82" s="4">
        <v>90000000</v>
      </c>
      <c r="K82" s="4">
        <v>9696506835</v>
      </c>
      <c r="L82" s="5">
        <v>44887</v>
      </c>
      <c r="M82" s="5"/>
      <c r="N82" s="5">
        <v>44911</v>
      </c>
      <c r="O82" s="5">
        <v>45070</v>
      </c>
      <c r="P82" s="4">
        <v>99.96</v>
      </c>
      <c r="Q82" s="4">
        <v>92.4</v>
      </c>
      <c r="R82" s="3"/>
    </row>
    <row r="83" spans="1:18" ht="70.05" customHeight="1" x14ac:dyDescent="0.3">
      <c r="A83" s="3" t="s">
        <v>830</v>
      </c>
      <c r="B83" s="3" t="s">
        <v>831</v>
      </c>
      <c r="C83" s="3" t="s">
        <v>832</v>
      </c>
      <c r="D83" s="3" t="s">
        <v>833</v>
      </c>
      <c r="E83" s="3" t="s">
        <v>67</v>
      </c>
      <c r="F83" s="3" t="s">
        <v>105</v>
      </c>
      <c r="G83" s="3" t="s">
        <v>56</v>
      </c>
      <c r="H83" s="3" t="s">
        <v>537</v>
      </c>
      <c r="I83" s="4">
        <v>500000000</v>
      </c>
      <c r="J83" s="4">
        <v>85470000</v>
      </c>
      <c r="K83" s="4">
        <v>585470000</v>
      </c>
      <c r="L83" s="5">
        <v>44887</v>
      </c>
      <c r="M83" s="5"/>
      <c r="N83" s="5">
        <v>44930</v>
      </c>
      <c r="O83" s="5">
        <v>44986</v>
      </c>
      <c r="P83" s="4">
        <v>100</v>
      </c>
      <c r="Q83" s="4">
        <v>95.06</v>
      </c>
      <c r="R83" s="3"/>
    </row>
    <row r="84" spans="1:18" ht="70.05" customHeight="1" x14ac:dyDescent="0.3">
      <c r="A84" s="3" t="s">
        <v>834</v>
      </c>
      <c r="B84" s="3" t="s">
        <v>835</v>
      </c>
      <c r="C84" s="3" t="s">
        <v>836</v>
      </c>
      <c r="D84" s="3" t="s">
        <v>837</v>
      </c>
      <c r="E84" s="3" t="s">
        <v>67</v>
      </c>
      <c r="F84" s="3" t="s">
        <v>105</v>
      </c>
      <c r="G84" s="3" t="s">
        <v>85</v>
      </c>
      <c r="H84" s="3" t="s">
        <v>481</v>
      </c>
      <c r="I84" s="4">
        <v>4299593384</v>
      </c>
      <c r="J84" s="4">
        <v>126145067</v>
      </c>
      <c r="K84" s="4">
        <v>4425738451</v>
      </c>
      <c r="L84" s="5">
        <v>44914</v>
      </c>
      <c r="M84" s="5"/>
      <c r="N84" s="5">
        <v>45055</v>
      </c>
      <c r="O84" s="5">
        <v>45139</v>
      </c>
      <c r="P84" s="4">
        <v>82.82</v>
      </c>
      <c r="Q84" s="4">
        <v>82.73</v>
      </c>
      <c r="R84" s="3"/>
    </row>
    <row r="85" spans="1:18" ht="70.05" customHeight="1" x14ac:dyDescent="0.3">
      <c r="A85" s="3" t="s">
        <v>838</v>
      </c>
      <c r="B85" s="3" t="s">
        <v>839</v>
      </c>
      <c r="C85" s="3" t="s">
        <v>840</v>
      </c>
      <c r="D85" s="3" t="s">
        <v>841</v>
      </c>
      <c r="E85" s="3" t="s">
        <v>199</v>
      </c>
      <c r="F85" s="3" t="s">
        <v>96</v>
      </c>
      <c r="G85" s="3" t="s">
        <v>56</v>
      </c>
      <c r="H85" s="3" t="s">
        <v>471</v>
      </c>
      <c r="I85" s="4">
        <v>29623316906.279999</v>
      </c>
      <c r="J85" s="4">
        <v>0</v>
      </c>
      <c r="K85" s="4">
        <v>29623316906.279999</v>
      </c>
      <c r="L85" s="5">
        <v>44925</v>
      </c>
      <c r="M85" s="5"/>
      <c r="N85" s="5">
        <v>44952</v>
      </c>
      <c r="O85" s="5">
        <v>45030</v>
      </c>
      <c r="P85" s="4">
        <v>98.28</v>
      </c>
      <c r="Q85" s="4">
        <v>93.6</v>
      </c>
      <c r="R85" s="3"/>
    </row>
    <row r="86" spans="1:18" ht="70.05" customHeight="1" x14ac:dyDescent="0.3">
      <c r="A86" s="3" t="s">
        <v>842</v>
      </c>
      <c r="B86" s="3" t="s">
        <v>843</v>
      </c>
      <c r="C86" s="3" t="s">
        <v>844</v>
      </c>
      <c r="D86" s="3" t="s">
        <v>845</v>
      </c>
      <c r="E86" s="3" t="s">
        <v>93</v>
      </c>
      <c r="F86" s="3" t="s">
        <v>167</v>
      </c>
      <c r="G86" s="3" t="s">
        <v>85</v>
      </c>
      <c r="H86" s="3" t="s">
        <v>487</v>
      </c>
      <c r="I86" s="4">
        <v>30461715692</v>
      </c>
      <c r="J86" s="4">
        <v>0</v>
      </c>
      <c r="K86" s="4">
        <v>30461715692</v>
      </c>
      <c r="L86" s="5">
        <v>45064</v>
      </c>
      <c r="M86" s="5"/>
      <c r="N86" s="5">
        <v>45202</v>
      </c>
      <c r="O86" s="5">
        <v>45289</v>
      </c>
      <c r="P86" s="4">
        <v>83.59</v>
      </c>
      <c r="Q86" s="4">
        <v>90.33</v>
      </c>
      <c r="R86" s="3"/>
    </row>
    <row r="87" spans="1:18" ht="70.05" customHeight="1" x14ac:dyDescent="0.3">
      <c r="A87" s="3" t="s">
        <v>846</v>
      </c>
      <c r="B87" s="3" t="s">
        <v>847</v>
      </c>
      <c r="C87" s="3" t="s">
        <v>848</v>
      </c>
      <c r="D87" s="3" t="s">
        <v>849</v>
      </c>
      <c r="E87" s="3" t="s">
        <v>67</v>
      </c>
      <c r="F87" s="3" t="s">
        <v>105</v>
      </c>
      <c r="G87" s="3" t="s">
        <v>85</v>
      </c>
      <c r="H87" s="3" t="s">
        <v>481</v>
      </c>
      <c r="I87" s="4">
        <v>17454000000</v>
      </c>
      <c r="J87" s="4">
        <v>307000000</v>
      </c>
      <c r="K87" s="4">
        <v>17761000000</v>
      </c>
      <c r="L87" s="5">
        <v>45154</v>
      </c>
      <c r="M87" s="5"/>
      <c r="N87" s="5">
        <v>45428</v>
      </c>
      <c r="O87" s="5">
        <v>45317</v>
      </c>
      <c r="P87" s="4">
        <v>73.41</v>
      </c>
      <c r="Q87" s="4">
        <v>66.63</v>
      </c>
      <c r="R87" s="3"/>
    </row>
    <row r="88" spans="1:18" ht="70.05" customHeight="1" x14ac:dyDescent="0.3">
      <c r="A88" s="3" t="s">
        <v>850</v>
      </c>
      <c r="B88" s="3" t="s">
        <v>851</v>
      </c>
      <c r="C88" s="3" t="s">
        <v>852</v>
      </c>
      <c r="D88" s="3" t="s">
        <v>853</v>
      </c>
      <c r="E88" s="3" t="s">
        <v>67</v>
      </c>
      <c r="F88" s="3" t="s">
        <v>192</v>
      </c>
      <c r="G88" s="3" t="s">
        <v>85</v>
      </c>
      <c r="H88" s="3" t="s">
        <v>481</v>
      </c>
      <c r="I88" s="4">
        <v>8419333809</v>
      </c>
      <c r="J88" s="4">
        <v>1511453285</v>
      </c>
      <c r="K88" s="4">
        <v>9930787094</v>
      </c>
      <c r="L88" s="5">
        <v>45154</v>
      </c>
      <c r="M88" s="5"/>
      <c r="N88" s="5">
        <v>45281</v>
      </c>
      <c r="O88" s="5">
        <v>45328</v>
      </c>
      <c r="P88" s="4">
        <v>39.99</v>
      </c>
      <c r="Q88" s="4">
        <v>75.38</v>
      </c>
      <c r="R88" s="3"/>
    </row>
    <row r="89" spans="1:18" ht="70.05" customHeight="1" x14ac:dyDescent="0.3">
      <c r="A89" s="3" t="s">
        <v>854</v>
      </c>
      <c r="B89" s="3" t="s">
        <v>855</v>
      </c>
      <c r="C89" s="3" t="s">
        <v>856</v>
      </c>
      <c r="D89" s="3" t="s">
        <v>857</v>
      </c>
      <c r="E89" s="3" t="s">
        <v>354</v>
      </c>
      <c r="F89" s="3" t="s">
        <v>858</v>
      </c>
      <c r="G89" s="3" t="s">
        <v>85</v>
      </c>
      <c r="H89" s="3" t="s">
        <v>481</v>
      </c>
      <c r="I89" s="4">
        <v>94461519789</v>
      </c>
      <c r="J89" s="4">
        <v>0</v>
      </c>
      <c r="K89" s="4">
        <v>94461519789</v>
      </c>
      <c r="L89" s="5">
        <v>45290</v>
      </c>
      <c r="M89" s="5"/>
      <c r="N89" s="5">
        <v>45369</v>
      </c>
      <c r="O89" s="5">
        <v>45539</v>
      </c>
      <c r="P89" s="4">
        <v>77.47</v>
      </c>
      <c r="Q89" s="4">
        <v>92.23</v>
      </c>
      <c r="R89" s="3"/>
    </row>
    <row r="90" spans="1:18" ht="70.05" customHeight="1" x14ac:dyDescent="0.3">
      <c r="A90" s="3" t="s">
        <v>859</v>
      </c>
      <c r="B90" s="3" t="s">
        <v>675</v>
      </c>
      <c r="C90" s="3" t="s">
        <v>860</v>
      </c>
      <c r="D90" s="3" t="s">
        <v>861</v>
      </c>
      <c r="E90" s="3" t="s">
        <v>67</v>
      </c>
      <c r="F90" s="3" t="s">
        <v>862</v>
      </c>
      <c r="G90" s="3" t="s">
        <v>85</v>
      </c>
      <c r="H90" s="3" t="s">
        <v>481</v>
      </c>
      <c r="I90" s="4">
        <v>3362968761</v>
      </c>
      <c r="J90" s="4">
        <v>1180580884</v>
      </c>
      <c r="K90" s="4">
        <v>4543549645</v>
      </c>
      <c r="L90" s="5">
        <v>45596</v>
      </c>
      <c r="M90" s="5"/>
      <c r="N90" s="5">
        <v>45649</v>
      </c>
      <c r="O90" s="5">
        <v>45721</v>
      </c>
      <c r="P90" s="4">
        <v>23.04</v>
      </c>
      <c r="Q90" s="4">
        <v>22.96</v>
      </c>
      <c r="R90" s="3"/>
    </row>
    <row r="91" spans="1:18" ht="70.05" customHeight="1" x14ac:dyDescent="0.3">
      <c r="A91" s="3" t="s">
        <v>863</v>
      </c>
      <c r="B91" s="3" t="s">
        <v>756</v>
      </c>
      <c r="C91" s="3" t="s">
        <v>864</v>
      </c>
      <c r="D91" s="3" t="s">
        <v>865</v>
      </c>
      <c r="E91" s="3" t="s">
        <v>67</v>
      </c>
      <c r="F91" s="3" t="s">
        <v>105</v>
      </c>
      <c r="G91" s="3" t="s">
        <v>85</v>
      </c>
      <c r="H91" s="3" t="s">
        <v>481</v>
      </c>
      <c r="I91" s="4">
        <v>23600000000</v>
      </c>
      <c r="J91" s="4">
        <v>918488200</v>
      </c>
      <c r="K91" s="4">
        <v>24518488200</v>
      </c>
      <c r="L91" s="5">
        <v>45861</v>
      </c>
      <c r="M91" s="5"/>
      <c r="N91" s="5">
        <v>45916</v>
      </c>
      <c r="O91" s="5">
        <v>45965</v>
      </c>
      <c r="P91" s="4">
        <v>0.01</v>
      </c>
      <c r="Q91" s="4">
        <v>0</v>
      </c>
      <c r="R91" s="3"/>
    </row>
    <row r="92" spans="1:18" ht="70.05" customHeight="1" x14ac:dyDescent="0.3">
      <c r="A92" s="3" t="s">
        <v>866</v>
      </c>
      <c r="B92" s="3" t="s">
        <v>593</v>
      </c>
      <c r="C92" s="3" t="s">
        <v>867</v>
      </c>
      <c r="D92" s="3" t="s">
        <v>868</v>
      </c>
      <c r="E92" s="3" t="s">
        <v>67</v>
      </c>
      <c r="F92" s="3" t="s">
        <v>192</v>
      </c>
      <c r="G92" s="3" t="s">
        <v>85</v>
      </c>
      <c r="H92" s="3" t="s">
        <v>481</v>
      </c>
      <c r="I92" s="4">
        <v>30000000000</v>
      </c>
      <c r="J92" s="4">
        <v>1068885740</v>
      </c>
      <c r="K92" s="4">
        <v>31068885740</v>
      </c>
      <c r="L92" s="5">
        <v>45861</v>
      </c>
      <c r="M92" s="5"/>
      <c r="N92" s="5">
        <v>45904</v>
      </c>
      <c r="O92" s="5">
        <v>45976</v>
      </c>
      <c r="P92" s="4">
        <v>2.39</v>
      </c>
      <c r="Q92" s="4">
        <v>1.17</v>
      </c>
      <c r="R92" s="3"/>
    </row>
    <row r="93" spans="1:18" ht="70.05" customHeight="1" x14ac:dyDescent="0.3">
      <c r="A93" s="3" t="s">
        <v>869</v>
      </c>
      <c r="B93" s="3" t="s">
        <v>683</v>
      </c>
      <c r="C93" s="3" t="s">
        <v>870</v>
      </c>
      <c r="D93" s="3"/>
      <c r="E93" s="3" t="s">
        <v>67</v>
      </c>
      <c r="F93" s="3" t="s">
        <v>192</v>
      </c>
      <c r="G93" s="3" t="s">
        <v>85</v>
      </c>
      <c r="H93" s="3" t="s">
        <v>481</v>
      </c>
      <c r="I93" s="4">
        <v>30000000000</v>
      </c>
      <c r="J93" s="4">
        <v>899136874.04999924</v>
      </c>
      <c r="K93" s="4">
        <v>30899136874.049999</v>
      </c>
      <c r="L93" s="5">
        <v>45861</v>
      </c>
      <c r="M93" s="5"/>
      <c r="N93" s="5">
        <v>45926</v>
      </c>
      <c r="O93" s="5">
        <v>45980</v>
      </c>
      <c r="P93" s="4">
        <v>8.8000000000000007</v>
      </c>
      <c r="Q93" s="4">
        <v>10.53</v>
      </c>
      <c r="R93" s="3"/>
    </row>
    <row r="94" spans="1:18" ht="70.05" customHeight="1" x14ac:dyDescent="0.3">
      <c r="A94" s="3" t="s">
        <v>871</v>
      </c>
      <c r="B94" s="3" t="s">
        <v>872</v>
      </c>
      <c r="C94" s="3" t="s">
        <v>873</v>
      </c>
      <c r="D94" s="3"/>
      <c r="E94" s="3" t="s">
        <v>213</v>
      </c>
      <c r="F94" s="3" t="s">
        <v>216</v>
      </c>
      <c r="G94" s="3" t="s">
        <v>85</v>
      </c>
      <c r="H94" s="3" t="s">
        <v>481</v>
      </c>
      <c r="I94" s="4">
        <v>172253454</v>
      </c>
      <c r="J94" s="4">
        <v>0</v>
      </c>
      <c r="K94" s="4">
        <v>172253454</v>
      </c>
      <c r="L94" s="5">
        <v>45715</v>
      </c>
      <c r="M94" s="5"/>
      <c r="N94" s="5">
        <v>46008</v>
      </c>
      <c r="O94" s="5">
        <v>46014</v>
      </c>
      <c r="P94" s="4">
        <v>100</v>
      </c>
      <c r="Q94" s="4">
        <v>90</v>
      </c>
      <c r="R94" s="3"/>
    </row>
    <row r="95" spans="1:18" ht="70.05" customHeight="1" x14ac:dyDescent="0.3">
      <c r="A95" s="3" t="s">
        <v>874</v>
      </c>
      <c r="B95" s="3" t="s">
        <v>875</v>
      </c>
      <c r="C95" s="3" t="s">
        <v>876</v>
      </c>
      <c r="D95" s="3" t="s">
        <v>877</v>
      </c>
      <c r="E95" s="3" t="s">
        <v>213</v>
      </c>
      <c r="F95" s="3" t="s">
        <v>216</v>
      </c>
      <c r="G95" s="3" t="s">
        <v>85</v>
      </c>
      <c r="H95" s="3" t="s">
        <v>487</v>
      </c>
      <c r="I95" s="4">
        <v>511865531</v>
      </c>
      <c r="J95" s="4">
        <v>200000000</v>
      </c>
      <c r="K95" s="4">
        <v>711865531</v>
      </c>
      <c r="L95" s="5">
        <v>45756</v>
      </c>
      <c r="M95" s="5"/>
      <c r="N95" s="5">
        <v>45775</v>
      </c>
      <c r="O95" s="5">
        <v>45922</v>
      </c>
      <c r="P95" s="4">
        <v>79.33</v>
      </c>
      <c r="Q95" s="4">
        <v>69.88</v>
      </c>
      <c r="R95" s="3"/>
    </row>
    <row r="96" spans="1:18" ht="70.05" customHeight="1" x14ac:dyDescent="0.3">
      <c r="A96" s="3" t="s">
        <v>878</v>
      </c>
      <c r="B96" s="3" t="s">
        <v>879</v>
      </c>
      <c r="C96" s="3" t="s">
        <v>880</v>
      </c>
      <c r="D96" s="3"/>
      <c r="E96" s="3" t="s">
        <v>280</v>
      </c>
      <c r="F96" s="3" t="s">
        <v>216</v>
      </c>
      <c r="G96" s="3" t="s">
        <v>340</v>
      </c>
      <c r="H96" s="3" t="s">
        <v>531</v>
      </c>
      <c r="I96" s="4">
        <v>386045990.94</v>
      </c>
      <c r="J96" s="4">
        <v>200000000.00000009</v>
      </c>
      <c r="K96" s="4">
        <v>586045990.94000006</v>
      </c>
      <c r="L96" s="5">
        <v>45917</v>
      </c>
      <c r="M96" s="5"/>
      <c r="N96" s="5">
        <v>45938</v>
      </c>
      <c r="O96" s="5"/>
      <c r="P96" s="4">
        <v>0</v>
      </c>
      <c r="Q96" s="4">
        <v>0</v>
      </c>
      <c r="R96" s="3"/>
    </row>
    <row r="97" spans="1:18" ht="70.05" customHeight="1" x14ac:dyDescent="0.3">
      <c r="A97" s="3" t="s">
        <v>881</v>
      </c>
      <c r="B97" s="3" t="s">
        <v>882</v>
      </c>
      <c r="C97" s="3" t="s">
        <v>883</v>
      </c>
      <c r="D97" s="3" t="s">
        <v>884</v>
      </c>
      <c r="E97" s="3" t="s">
        <v>93</v>
      </c>
      <c r="F97" s="3" t="s">
        <v>96</v>
      </c>
      <c r="G97" s="3" t="s">
        <v>85</v>
      </c>
      <c r="H97" s="3" t="s">
        <v>481</v>
      </c>
      <c r="I97" s="4">
        <v>59900815918</v>
      </c>
      <c r="J97" s="4">
        <v>0</v>
      </c>
      <c r="K97" s="4">
        <v>59900815918</v>
      </c>
      <c r="L97" s="5">
        <v>45911</v>
      </c>
      <c r="M97" s="5"/>
      <c r="N97" s="5">
        <v>45922</v>
      </c>
      <c r="O97" s="5">
        <v>45974</v>
      </c>
      <c r="P97" s="4">
        <v>0.39</v>
      </c>
      <c r="Q97" s="4">
        <v>24.54</v>
      </c>
      <c r="R97" s="3"/>
    </row>
    <row r="98" spans="1:18" ht="70.05" customHeight="1" x14ac:dyDescent="0.3">
      <c r="A98" s="3" t="s">
        <v>885</v>
      </c>
      <c r="B98" s="3" t="s">
        <v>605</v>
      </c>
      <c r="C98" s="3" t="s">
        <v>886</v>
      </c>
      <c r="D98" s="3" t="s">
        <v>887</v>
      </c>
      <c r="E98" s="3" t="s">
        <v>354</v>
      </c>
      <c r="F98" s="3" t="s">
        <v>888</v>
      </c>
      <c r="G98" s="3" t="s">
        <v>85</v>
      </c>
      <c r="H98" s="3" t="s">
        <v>481</v>
      </c>
      <c r="I98" s="4">
        <v>28121067144</v>
      </c>
      <c r="J98" s="4">
        <v>142000000</v>
      </c>
      <c r="K98" s="4">
        <v>28263067144</v>
      </c>
      <c r="L98" s="5">
        <v>45861</v>
      </c>
      <c r="M98" s="5"/>
      <c r="N98" s="5">
        <v>45882</v>
      </c>
      <c r="O98" s="5">
        <v>45926</v>
      </c>
      <c r="P98" s="4">
        <v>7.97</v>
      </c>
      <c r="Q98" s="4">
        <v>27.96</v>
      </c>
      <c r="R98" s="3"/>
    </row>
    <row r="99" spans="1:18" ht="70.05" customHeight="1" x14ac:dyDescent="0.3">
      <c r="A99" s="3" t="s">
        <v>889</v>
      </c>
      <c r="B99" s="3" t="s">
        <v>675</v>
      </c>
      <c r="C99" s="3" t="s">
        <v>890</v>
      </c>
      <c r="D99" s="3" t="s">
        <v>891</v>
      </c>
      <c r="E99" s="3" t="s">
        <v>67</v>
      </c>
      <c r="F99" s="3" t="s">
        <v>105</v>
      </c>
      <c r="G99" s="3" t="s">
        <v>208</v>
      </c>
      <c r="H99" s="3" t="s">
        <v>537</v>
      </c>
      <c r="I99" s="4">
        <v>1989520159</v>
      </c>
      <c r="J99" s="4">
        <v>835888647</v>
      </c>
      <c r="K99" s="4">
        <v>2825408806</v>
      </c>
      <c r="L99" s="5">
        <v>44078</v>
      </c>
      <c r="M99" s="5"/>
      <c r="N99" s="5">
        <v>44176</v>
      </c>
      <c r="O99" s="5"/>
      <c r="P99" s="4">
        <v>98.57</v>
      </c>
      <c r="Q99" s="4">
        <v>98.93</v>
      </c>
      <c r="R99" s="3"/>
    </row>
    <row r="100" spans="1:18" ht="70.05" customHeight="1" x14ac:dyDescent="0.3">
      <c r="A100" s="3" t="s">
        <v>892</v>
      </c>
      <c r="B100" s="3" t="s">
        <v>893</v>
      </c>
      <c r="C100" s="3" t="s">
        <v>894</v>
      </c>
      <c r="D100" s="3" t="s">
        <v>895</v>
      </c>
      <c r="E100" s="3" t="s">
        <v>67</v>
      </c>
      <c r="F100" s="3" t="s">
        <v>105</v>
      </c>
      <c r="G100" s="3" t="s">
        <v>208</v>
      </c>
      <c r="H100" s="3" t="s">
        <v>537</v>
      </c>
      <c r="I100" s="4">
        <v>4869404585</v>
      </c>
      <c r="J100" s="4">
        <v>170383404</v>
      </c>
      <c r="K100" s="4">
        <v>5039787989</v>
      </c>
      <c r="L100" s="5">
        <v>44384</v>
      </c>
      <c r="M100" s="5"/>
      <c r="N100" s="5">
        <v>44407</v>
      </c>
      <c r="O100" s="5">
        <v>44560</v>
      </c>
      <c r="P100" s="4">
        <v>100</v>
      </c>
      <c r="Q100" s="4">
        <v>99.22</v>
      </c>
      <c r="R100" s="3"/>
    </row>
    <row r="101" spans="1:18" ht="70.05" customHeight="1" x14ac:dyDescent="0.3">
      <c r="A101" s="3" t="s">
        <v>896</v>
      </c>
      <c r="B101" s="3" t="s">
        <v>584</v>
      </c>
      <c r="C101" s="3" t="s">
        <v>897</v>
      </c>
      <c r="D101" s="3" t="s">
        <v>898</v>
      </c>
      <c r="E101" s="3" t="s">
        <v>93</v>
      </c>
      <c r="F101" s="3" t="s">
        <v>899</v>
      </c>
      <c r="G101" s="3" t="s">
        <v>208</v>
      </c>
      <c r="H101" s="3" t="s">
        <v>537</v>
      </c>
      <c r="I101" s="4">
        <v>2644584337.2600002</v>
      </c>
      <c r="J101" s="4">
        <v>0</v>
      </c>
      <c r="K101" s="4">
        <v>2644584337.2600002</v>
      </c>
      <c r="L101" s="5">
        <v>44456</v>
      </c>
      <c r="M101" s="5"/>
      <c r="N101" s="5">
        <v>44489</v>
      </c>
      <c r="O101" s="5">
        <v>44859</v>
      </c>
      <c r="P101" s="4">
        <v>100</v>
      </c>
      <c r="Q101" s="4">
        <v>99.98</v>
      </c>
      <c r="R101" s="3"/>
    </row>
    <row r="102" spans="1:18" ht="70.05" customHeight="1" x14ac:dyDescent="0.3">
      <c r="A102" s="3" t="s">
        <v>900</v>
      </c>
      <c r="B102" s="3" t="s">
        <v>543</v>
      </c>
      <c r="C102" s="3" t="s">
        <v>901</v>
      </c>
      <c r="D102" s="3" t="s">
        <v>902</v>
      </c>
      <c r="E102" s="3" t="s">
        <v>93</v>
      </c>
      <c r="F102" s="3" t="s">
        <v>903</v>
      </c>
      <c r="G102" s="3" t="s">
        <v>208</v>
      </c>
      <c r="H102" s="3" t="s">
        <v>537</v>
      </c>
      <c r="I102" s="4">
        <v>6578630543.6700001</v>
      </c>
      <c r="J102" s="4">
        <v>0</v>
      </c>
      <c r="K102" s="4">
        <v>6578630543.6700001</v>
      </c>
      <c r="L102" s="5">
        <v>44559</v>
      </c>
      <c r="M102" s="5"/>
      <c r="N102" s="5">
        <v>44566</v>
      </c>
      <c r="O102" s="5">
        <v>44697</v>
      </c>
      <c r="P102" s="4">
        <v>100</v>
      </c>
      <c r="Q102" s="4">
        <v>100</v>
      </c>
      <c r="R102" s="3"/>
    </row>
    <row r="103" spans="1:18" ht="70.05" customHeight="1" x14ac:dyDescent="0.3">
      <c r="A103" s="3" t="s">
        <v>904</v>
      </c>
      <c r="B103" s="3" t="s">
        <v>875</v>
      </c>
      <c r="C103" s="3" t="s">
        <v>905</v>
      </c>
      <c r="D103" s="3" t="s">
        <v>906</v>
      </c>
      <c r="E103" s="3" t="s">
        <v>93</v>
      </c>
      <c r="F103" s="3" t="s">
        <v>96</v>
      </c>
      <c r="G103" s="3" t="s">
        <v>208</v>
      </c>
      <c r="H103" s="3" t="s">
        <v>537</v>
      </c>
      <c r="I103" s="4">
        <v>6853127845.6300001</v>
      </c>
      <c r="J103" s="4">
        <v>0</v>
      </c>
      <c r="K103" s="4">
        <v>6853127845.6300001</v>
      </c>
      <c r="L103" s="5">
        <v>45216</v>
      </c>
      <c r="M103" s="5"/>
      <c r="N103" s="5">
        <v>45219</v>
      </c>
      <c r="O103" s="5">
        <v>45286</v>
      </c>
      <c r="P103" s="4">
        <v>100</v>
      </c>
      <c r="Q103" s="4">
        <v>99.99</v>
      </c>
      <c r="R103" s="3"/>
    </row>
    <row r="104" spans="1:18" ht="70.05" customHeight="1" x14ac:dyDescent="0.3">
      <c r="A104" s="3" t="s">
        <v>907</v>
      </c>
      <c r="B104" s="3" t="s">
        <v>882</v>
      </c>
      <c r="C104" s="3" t="s">
        <v>908</v>
      </c>
      <c r="D104" s="3"/>
      <c r="E104" s="3" t="s">
        <v>93</v>
      </c>
      <c r="F104" s="3" t="s">
        <v>909</v>
      </c>
      <c r="G104" s="3" t="s">
        <v>910</v>
      </c>
      <c r="H104" s="3" t="s">
        <v>531</v>
      </c>
      <c r="I104" s="4">
        <v>36139210439</v>
      </c>
      <c r="J104" s="4">
        <v>0</v>
      </c>
      <c r="K104" s="4">
        <v>36139210439</v>
      </c>
      <c r="L104" s="5">
        <v>46080</v>
      </c>
      <c r="M104" s="5"/>
      <c r="N104" s="5">
        <v>46091</v>
      </c>
      <c r="O104" s="5"/>
      <c r="P104" s="4">
        <v>0</v>
      </c>
      <c r="Q104" s="4">
        <v>0</v>
      </c>
      <c r="R104" s="3"/>
    </row>
  </sheetData>
  <mergeCells count="1">
    <mergeCell ref="A1:R1"/>
  </mergeCell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8B3DFA865F6F034EB448FC5A52568A32" ma:contentTypeVersion="4" ma:contentTypeDescription="Crear nuevo documento." ma:contentTypeScope="" ma:versionID="2f51a7d93a285d3941b6523f943e8fd4">
  <xsd:schema xmlns:xsd="http://www.w3.org/2001/XMLSchema" xmlns:xs="http://www.w3.org/2001/XMLSchema" xmlns:p="http://schemas.microsoft.com/office/2006/metadata/properties" xmlns:ns2="b00b06bb-bd7e-41cd-b698-c4070c092581" targetNamespace="http://schemas.microsoft.com/office/2006/metadata/properties" ma:root="true" ma:fieldsID="efc4bcf9a5ebed2856ce64dac4174bb4" ns2:_="">
    <xsd:import namespace="b00b06bb-bd7e-41cd-b698-c4070c09258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0b06bb-bd7e-41cd-b698-c4070c0925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6B1288D-E17B-41C7-8BDA-3DFB9BA1125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00b06bb-bd7e-41cd-b698-c4070c09258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BFC0EBF-E5CA-453E-96B6-D9E35E8DEB4E}">
  <ds:schemaRefs>
    <ds:schemaRef ds:uri="http://schemas.microsoft.com/sharepoint/v3/contenttype/forms"/>
  </ds:schemaRefs>
</ds:datastoreItem>
</file>

<file path=customXml/itemProps3.xml><?xml version="1.0" encoding="utf-8"?>
<ds:datastoreItem xmlns:ds="http://schemas.openxmlformats.org/officeDocument/2006/customXml" ds:itemID="{2A8443F4-0206-4A7A-8CAD-F7F3FD43B967}">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MatrizSeguimientoEvaluacion</vt:lpstr>
      <vt:lpstr>OtrosEjecutoresDescentralizadas</vt:lpstr>
      <vt:lpstr>OtrosEjecutoresMunicipios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Zamara Fernanda García Martínez</cp:lastModifiedBy>
  <dcterms:created xsi:type="dcterms:W3CDTF">2026-06-08T22:01:30Z</dcterms:created>
  <dcterms:modified xsi:type="dcterms:W3CDTF">2026-06-08T23:59:06Z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0x0101008B3DFA865F6F034EB448FC5A52568A32</vt:lpwstr>
  </property>
</Properties>
</file>