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0" documentId="8_{690FE775-1C55-4B7A-8805-B64E18B6F1A1}" xr6:coauthVersionLast="47" xr6:coauthVersionMax="47" xr10:uidLastSave="{00000000-0000-0000-0000-000000000000}"/>
  <bookViews>
    <workbookView xWindow="-120" yWindow="-120" windowWidth="29040" windowHeight="15720" xr2:uid="{00000000-000D-0000-FFFF-FFFF00000000}"/>
  </bookViews>
  <sheets>
    <sheet name="MatrizSeguimientoEvaluacion" sheetId="1" r:id="rId1"/>
    <sheet name="OtrosEjecutoresDescentralizadas" sheetId="2" r:id="rId2"/>
    <sheet name="Hoja1" sheetId="4" r:id="rId3"/>
    <sheet name="OtrosEjecutoresMunicipios" sheetId="3"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8" i="2"/>
  <c r="AJ18" i="2" l="1"/>
  <c r="AE18" i="2"/>
  <c r="AD18" i="2"/>
  <c r="AC18" i="2"/>
  <c r="AB18" i="2"/>
  <c r="AJ17" i="2"/>
  <c r="AE17" i="2"/>
  <c r="AD17" i="2"/>
  <c r="AC17" i="2"/>
  <c r="AB17" i="2"/>
  <c r="AJ16" i="2"/>
  <c r="AE16" i="2"/>
  <c r="AD16" i="2"/>
  <c r="AC16" i="2"/>
  <c r="AB16" i="2"/>
  <c r="AJ15" i="2"/>
  <c r="AE15" i="2"/>
  <c r="AD15" i="2"/>
  <c r="AC15" i="2"/>
  <c r="AB15" i="2"/>
  <c r="AJ14" i="2"/>
  <c r="AE14" i="2"/>
  <c r="AD14" i="2"/>
  <c r="AC14" i="2"/>
  <c r="AB14" i="2"/>
  <c r="AJ13" i="2"/>
  <c r="AE13" i="2"/>
  <c r="AD13" i="2"/>
  <c r="AC13" i="2"/>
  <c r="AB13" i="2"/>
  <c r="AJ12" i="2"/>
  <c r="AE12" i="2"/>
  <c r="AD12" i="2"/>
  <c r="AC12" i="2"/>
  <c r="AB12" i="2"/>
  <c r="AJ11" i="2"/>
  <c r="AE11" i="2"/>
  <c r="AD11" i="2"/>
  <c r="AC11" i="2"/>
  <c r="AB11" i="2"/>
  <c r="AJ10" i="2"/>
  <c r="AE10" i="2"/>
  <c r="AD10" i="2"/>
  <c r="AC10" i="2"/>
  <c r="AB10" i="2"/>
  <c r="AJ9" i="2"/>
  <c r="AE9" i="2"/>
  <c r="AD9" i="2"/>
  <c r="AC9" i="2"/>
  <c r="AB9" i="2"/>
  <c r="AK8" i="2"/>
  <c r="AJ8" i="2"/>
  <c r="AE8" i="2"/>
  <c r="AD8" i="2"/>
  <c r="AC8" i="2"/>
  <c r="AB8" i="2"/>
  <c r="AJ7" i="2"/>
  <c r="AE7" i="2"/>
  <c r="AD7" i="2"/>
  <c r="AC7" i="2"/>
  <c r="AB7" i="2"/>
  <c r="AJ6" i="2"/>
  <c r="AE6" i="2"/>
  <c r="AD6" i="2"/>
  <c r="AC6" i="2"/>
  <c r="AB6" i="2"/>
  <c r="AJ5" i="2"/>
  <c r="AE5" i="2"/>
  <c r="AD5" i="2"/>
  <c r="AC5" i="2"/>
  <c r="AB5" i="2"/>
  <c r="AK4" i="2"/>
  <c r="AJ4" i="2"/>
  <c r="AE4" i="2"/>
  <c r="AD4" i="2"/>
  <c r="AC4" i="2"/>
  <c r="AB4" i="2"/>
  <c r="AK3" i="2"/>
  <c r="AJ3" i="2"/>
  <c r="AE3" i="2"/>
  <c r="AD3" i="2"/>
  <c r="AC3" i="2"/>
  <c r="AB3" i="2"/>
  <c r="AU58" i="1"/>
  <c r="AT58" i="1"/>
  <c r="AR58" i="1"/>
  <c r="AO58" i="1"/>
  <c r="AN58" i="1"/>
  <c r="AM58" i="1"/>
  <c r="AL58" i="1"/>
  <c r="AT57" i="1"/>
  <c r="AR57" i="1"/>
  <c r="AO57" i="1"/>
  <c r="AN57" i="1"/>
  <c r="AM57" i="1"/>
  <c r="AL57" i="1"/>
  <c r="AT56" i="1"/>
  <c r="AR56" i="1"/>
  <c r="AO56" i="1"/>
  <c r="AN56" i="1"/>
  <c r="AM56" i="1"/>
  <c r="AL56" i="1"/>
  <c r="AT55" i="1"/>
  <c r="AR55" i="1"/>
  <c r="AO55" i="1"/>
  <c r="AN55" i="1"/>
  <c r="AM55" i="1"/>
  <c r="AL55" i="1"/>
  <c r="AT54" i="1"/>
  <c r="AR54" i="1"/>
  <c r="AO54" i="1"/>
  <c r="AN54" i="1"/>
  <c r="AM54" i="1"/>
  <c r="AL54" i="1"/>
  <c r="AU53" i="1"/>
  <c r="AT53" i="1"/>
  <c r="AR53" i="1"/>
  <c r="AO53" i="1"/>
  <c r="AN53" i="1"/>
  <c r="AM53" i="1"/>
  <c r="AL53" i="1"/>
  <c r="AT52" i="1"/>
  <c r="AR52" i="1"/>
  <c r="AO52" i="1"/>
  <c r="AN52" i="1"/>
  <c r="AM52" i="1"/>
  <c r="AL52" i="1"/>
  <c r="AT51" i="1"/>
  <c r="AR51" i="1"/>
  <c r="AO51" i="1"/>
  <c r="AN51" i="1"/>
  <c r="AM51" i="1"/>
  <c r="AL51" i="1"/>
  <c r="AT50" i="1"/>
  <c r="AR50" i="1"/>
  <c r="AO50" i="1"/>
  <c r="AN50" i="1"/>
  <c r="AM50" i="1"/>
  <c r="AL50" i="1"/>
  <c r="AT49" i="1"/>
  <c r="AR49" i="1"/>
  <c r="AO49" i="1"/>
  <c r="AN49" i="1"/>
  <c r="AM49" i="1"/>
  <c r="AL49" i="1"/>
  <c r="AU48" i="1"/>
  <c r="AT48" i="1"/>
  <c r="AR48" i="1"/>
  <c r="AO48" i="1"/>
  <c r="AN48" i="1"/>
  <c r="AM48" i="1"/>
  <c r="AL48" i="1"/>
  <c r="AT47" i="1"/>
  <c r="AR47" i="1"/>
  <c r="AO47" i="1"/>
  <c r="AN47" i="1"/>
  <c r="AM47" i="1"/>
  <c r="AL47" i="1"/>
  <c r="AT46" i="1"/>
  <c r="AR46" i="1"/>
  <c r="AO46" i="1"/>
  <c r="AN46" i="1"/>
  <c r="AM46" i="1"/>
  <c r="AL46" i="1"/>
  <c r="AT45" i="1"/>
  <c r="AR45" i="1"/>
  <c r="AO45" i="1"/>
  <c r="AN45" i="1"/>
  <c r="AM45" i="1"/>
  <c r="AL45" i="1"/>
  <c r="AT44" i="1"/>
  <c r="AR44" i="1"/>
  <c r="AO44" i="1"/>
  <c r="AN44" i="1"/>
  <c r="AM44" i="1"/>
  <c r="AL44" i="1"/>
  <c r="AT43" i="1"/>
  <c r="AR43" i="1"/>
  <c r="AO43" i="1"/>
  <c r="AN43" i="1"/>
  <c r="AM43" i="1"/>
  <c r="AL43" i="1"/>
  <c r="AT42" i="1"/>
  <c r="AR42" i="1"/>
  <c r="AO42" i="1"/>
  <c r="AN42" i="1"/>
  <c r="AM42" i="1"/>
  <c r="AL42" i="1"/>
  <c r="AT41" i="1"/>
  <c r="AR41" i="1"/>
  <c r="AO41" i="1"/>
  <c r="AN41" i="1"/>
  <c r="AM41" i="1"/>
  <c r="AL41" i="1"/>
  <c r="AT40" i="1"/>
  <c r="AR40" i="1"/>
  <c r="AO40" i="1"/>
  <c r="AN40" i="1"/>
  <c r="AM40" i="1"/>
  <c r="AL40" i="1"/>
  <c r="AT39" i="1"/>
  <c r="AR39" i="1"/>
  <c r="AO39" i="1"/>
  <c r="AN39" i="1"/>
  <c r="AM39" i="1"/>
  <c r="AL39" i="1"/>
  <c r="AT38" i="1"/>
  <c r="AR38" i="1"/>
  <c r="AN38" i="1"/>
  <c r="AO38" i="1" s="1"/>
  <c r="AM38" i="1"/>
  <c r="AL38" i="1"/>
  <c r="AT37" i="1"/>
  <c r="AR37" i="1"/>
  <c r="AN37" i="1"/>
  <c r="AO37" i="1" s="1"/>
  <c r="AM37" i="1"/>
  <c r="AL37" i="1"/>
  <c r="AT36" i="1"/>
  <c r="AR36" i="1"/>
  <c r="AO36" i="1"/>
  <c r="AN36" i="1"/>
  <c r="AM36" i="1"/>
  <c r="AL36" i="1"/>
  <c r="AU35" i="1"/>
  <c r="AT35" i="1"/>
  <c r="AR35" i="1"/>
  <c r="AO35" i="1"/>
  <c r="AN35" i="1"/>
  <c r="AM35" i="1"/>
  <c r="AL35" i="1"/>
  <c r="AU34" i="1"/>
  <c r="AT34" i="1"/>
  <c r="AR34" i="1"/>
  <c r="AO34" i="1"/>
  <c r="AN34" i="1"/>
  <c r="AM34" i="1"/>
  <c r="AL34" i="1"/>
  <c r="AT33" i="1"/>
  <c r="AR33" i="1"/>
  <c r="AO33" i="1"/>
  <c r="AN33" i="1"/>
  <c r="AM33" i="1"/>
  <c r="AL33" i="1"/>
  <c r="AT32" i="1"/>
  <c r="AR32" i="1"/>
  <c r="AN32" i="1"/>
  <c r="AO32" i="1" s="1"/>
  <c r="AM32" i="1"/>
  <c r="AL32" i="1"/>
  <c r="AT31" i="1"/>
  <c r="AR31" i="1"/>
  <c r="AO31" i="1"/>
  <c r="AN31" i="1"/>
  <c r="AM31" i="1"/>
  <c r="AL31" i="1"/>
  <c r="AU30" i="1"/>
  <c r="AT30" i="1"/>
  <c r="AR30" i="1"/>
  <c r="AO30" i="1"/>
  <c r="AN30" i="1"/>
  <c r="AM30" i="1"/>
  <c r="AL30" i="1"/>
  <c r="AT29" i="1"/>
  <c r="AR29" i="1"/>
  <c r="AO29" i="1"/>
  <c r="AN29" i="1"/>
  <c r="AM29" i="1"/>
  <c r="AL29" i="1"/>
  <c r="AU28" i="1"/>
  <c r="AT28" i="1"/>
  <c r="AR28" i="1"/>
  <c r="AO28" i="1"/>
  <c r="AN28" i="1"/>
  <c r="AM28" i="1"/>
  <c r="AL28" i="1"/>
  <c r="AT27" i="1"/>
  <c r="AR27" i="1"/>
  <c r="AO27" i="1"/>
  <c r="AN27" i="1"/>
  <c r="AM27" i="1"/>
  <c r="AL27" i="1"/>
  <c r="AT26" i="1"/>
  <c r="AR26" i="1"/>
  <c r="AO26" i="1"/>
  <c r="AN26" i="1"/>
  <c r="AM26" i="1"/>
  <c r="AL26" i="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M22" i="1"/>
  <c r="AL22" i="1"/>
  <c r="AT21" i="1"/>
  <c r="AR21" i="1"/>
  <c r="AN21" i="1"/>
  <c r="AO21" i="1" s="1"/>
  <c r="AM21" i="1"/>
  <c r="AL21" i="1"/>
  <c r="AT20" i="1"/>
  <c r="AR20" i="1"/>
  <c r="AO20" i="1"/>
  <c r="AN20" i="1"/>
  <c r="AM20" i="1"/>
  <c r="AL20" i="1"/>
  <c r="AT19" i="1"/>
  <c r="AR19" i="1"/>
  <c r="AO19" i="1"/>
  <c r="AN19" i="1"/>
  <c r="AM19" i="1"/>
  <c r="AL19" i="1"/>
  <c r="AT18" i="1"/>
  <c r="AR18" i="1"/>
  <c r="AO18" i="1"/>
  <c r="AN18" i="1"/>
  <c r="AM18" i="1"/>
  <c r="AL18" i="1"/>
  <c r="AT17" i="1"/>
  <c r="AR17" i="1"/>
  <c r="AO17" i="1"/>
  <c r="AN17" i="1"/>
  <c r="AM17" i="1"/>
  <c r="AL17" i="1"/>
  <c r="AT16" i="1"/>
  <c r="AR16" i="1"/>
  <c r="AN16" i="1"/>
  <c r="AO16" i="1" s="1"/>
  <c r="AM16" i="1"/>
  <c r="AL16" i="1"/>
  <c r="AT15" i="1"/>
  <c r="AR15" i="1"/>
  <c r="AN15" i="1"/>
  <c r="AO15" i="1" s="1"/>
  <c r="AM15" i="1"/>
  <c r="AL15" i="1"/>
  <c r="AT14" i="1"/>
  <c r="AR14" i="1"/>
  <c r="AO14" i="1"/>
  <c r="AN14" i="1"/>
  <c r="AM14" i="1"/>
  <c r="AL14" i="1"/>
  <c r="AT13" i="1"/>
  <c r="AR13" i="1"/>
  <c r="AO13" i="1"/>
  <c r="AN13" i="1"/>
  <c r="AM13" i="1"/>
  <c r="AL13" i="1"/>
  <c r="AT12" i="1"/>
  <c r="AR12" i="1"/>
  <c r="AO12" i="1"/>
  <c r="AN12" i="1"/>
  <c r="AM12" i="1"/>
  <c r="AL12" i="1"/>
  <c r="AT11" i="1"/>
  <c r="AR11" i="1"/>
  <c r="AN11" i="1"/>
  <c r="AO11" i="1" s="1"/>
  <c r="AM11" i="1"/>
  <c r="AL11" i="1"/>
  <c r="AT10" i="1"/>
  <c r="AR10" i="1"/>
  <c r="AO10" i="1"/>
  <c r="AN10" i="1"/>
  <c r="AM10" i="1"/>
  <c r="AL10" i="1"/>
  <c r="AT9" i="1"/>
  <c r="AR9" i="1"/>
  <c r="AN9" i="1"/>
  <c r="AO9" i="1" s="1"/>
  <c r="AM9" i="1"/>
  <c r="AL9" i="1"/>
  <c r="AU8" i="1"/>
  <c r="AT8" i="1"/>
  <c r="AR8" i="1"/>
  <c r="AO8" i="1"/>
  <c r="AN8" i="1"/>
  <c r="AM8" i="1"/>
  <c r="AL8" i="1"/>
  <c r="AT7" i="1"/>
  <c r="AR7" i="1"/>
  <c r="AO7" i="1"/>
  <c r="AN7" i="1"/>
  <c r="AM7" i="1"/>
  <c r="AL7" i="1"/>
  <c r="AT6" i="1"/>
  <c r="AR6" i="1"/>
  <c r="AN6" i="1"/>
  <c r="AO6" i="1" s="1"/>
  <c r="AM6" i="1"/>
  <c r="AL6" i="1"/>
  <c r="AT5" i="1"/>
  <c r="AR5" i="1"/>
  <c r="AO5" i="1"/>
  <c r="AN5" i="1"/>
  <c r="AM5" i="1"/>
  <c r="AL5" i="1"/>
  <c r="AU4" i="1"/>
  <c r="AT4" i="1"/>
  <c r="AR4" i="1"/>
  <c r="AN4" i="1"/>
  <c r="AO4" i="1" s="1"/>
  <c r="AM4" i="1"/>
  <c r="AL4" i="1"/>
  <c r="AU3" i="1"/>
  <c r="AT3" i="1"/>
  <c r="AR3" i="1"/>
  <c r="AO3" i="1"/>
  <c r="AN3" i="1"/>
  <c r="AM3" i="1"/>
  <c r="AL3" i="1"/>
  <c r="AK18" i="2" l="1"/>
  <c r="AU55" i="1"/>
  <c r="AK15" i="2"/>
  <c r="AK11" i="2"/>
  <c r="AK13" i="2"/>
  <c r="AU57" i="1"/>
  <c r="AK12" i="2"/>
  <c r="AK17" i="2"/>
  <c r="AK16" i="2"/>
  <c r="AK7" i="2"/>
  <c r="AU36" i="1"/>
  <c r="AU31" i="1"/>
  <c r="AU49" i="1"/>
  <c r="AU33" i="1"/>
  <c r="AU47" i="1"/>
  <c r="AK14" i="2"/>
  <c r="AK10" i="2"/>
  <c r="AK6" i="2"/>
  <c r="AK9" i="2"/>
  <c r="AK5" i="2"/>
  <c r="AU32" i="1"/>
  <c r="AU52" i="1"/>
  <c r="AU50" i="1"/>
  <c r="AU44" i="1"/>
  <c r="AU9" i="1"/>
  <c r="AU18" i="1"/>
  <c r="AU20" i="1"/>
  <c r="AU26" i="1"/>
  <c r="AU10" i="1"/>
  <c r="AU12" i="1"/>
  <c r="AU40" i="1"/>
  <c r="AU42" i="1"/>
  <c r="AU29" i="1"/>
  <c r="AU14" i="1"/>
  <c r="AU16" i="1"/>
  <c r="AU39" i="1"/>
  <c r="AU41" i="1"/>
  <c r="AU54" i="1"/>
  <c r="AU56" i="1"/>
  <c r="AU37" i="1"/>
  <c r="AU43" i="1"/>
  <c r="AU45" i="1"/>
  <c r="AU7" i="1"/>
  <c r="AU19" i="1"/>
  <c r="AU51" i="1"/>
  <c r="AU11" i="1"/>
  <c r="AU13" i="1"/>
  <c r="AU15" i="1"/>
  <c r="AU21" i="1"/>
  <c r="AU17" i="1"/>
  <c r="AU5" i="1"/>
  <c r="AU46" i="1"/>
  <c r="AU27" i="1"/>
  <c r="AU6" i="1"/>
  <c r="AU38" i="1"/>
  <c r="AU22" i="1"/>
</calcChain>
</file>

<file path=xl/sharedStrings.xml><?xml version="1.0" encoding="utf-8"?>
<sst xmlns="http://schemas.openxmlformats.org/spreadsheetml/2006/main" count="1842" uniqueCount="923">
  <si>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</si>
  <si>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</si>
  <si>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</si>
  <si>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</si>
  <si>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</si>
  <si>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</si>
  <si>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</si>
  <si>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</si>
  <si>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</si>
  <si>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</si>
  <si>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</si>
  <si>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</si>
  <si>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</si>
  <si>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</si>
  <si>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</si>
  <si>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</si>
  <si>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</si>
  <si>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</si>
  <si>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</si>
  <si>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</si>
  <si>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</si>
  <si>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</si>
  <si>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</si>
  <si>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</si>
  <si>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</si>
  <si>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</si>
  <si>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</si>
  <si>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</si>
  <si>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</si>
  <si>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</si>
  <si>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</si>
  <si>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</si>
  <si>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</si>
  <si>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</si>
  <si>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</si>
  <si>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</si>
  <si>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</si>
  <si>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</si>
  <si>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</si>
  <si>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</si>
  <si>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</si>
  <si>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</si>
  <si>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</si>
  <si>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</si>
  <si>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</si>
  <si>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</si>
  <si>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</si>
  <si>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</si>
  <si>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</si>
  <si>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</si>
  <si>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</si>
  <si>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</si>
  <si>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</si>
  <si>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</si>
  <si>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</si>
  <si>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</si>
  <si>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</si>
  <si>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</si>
  <si>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</si>
  <si>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</si>
  <si>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</si>
  <si>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Proyecto en estado terminado. Se programó mesa técnica con el DNP para el martes 21 de abril, con el fin de revisar y coordinar el registro de los pagos no reflejados en la plataforma, correspondientes al contrato CONV-015-2023.
Así mismo, se encuentra pendiente la liquidación del contrato CM-008-2015, la cual debe ser solicitada al área de contratación. Una vez se cuente con el registro de los pagos del contrato CONV-015-2023, se podrá proceder con el cargue de la liquidación correspondiente. Adicionalmente, se requiere solicitar el cuestionario de beneficiarios y sostenibilidad a la secretaría de educación. (El cual ya fue solicitado)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</si>
  <si>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</si>
  <si>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</si>
  <si>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</si>
  <si>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</si>
  <si>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</si>
  <si>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</si>
  <si>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CONTRATADO EN EJECUCIÓN</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</si>
  <si>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</si>
  <si>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</si>
  <si>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</si>
  <si>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</si>
  <si>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</si>
  <si>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</si>
  <si>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</si>
  <si>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</si>
  <si>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</si>
  <si>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No hay reporte</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</si>
  <si>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</si>
  <si>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</si>
  <si>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</si>
  <si>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</si>
  <si>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</si>
  <si>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</si>
  <si>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</si>
  <si>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No hubo reporte</t>
  </si>
  <si>
    <t>Proyecto en estado de ejecución, cuenta con prórroga hasta 2028, por lo cual se requiere su reprogramación; sin embargo, esta no se ha realizado debido a que la información remitida se presentó en Metodología 1 y no en Metodología 2. Actualmente, se adelantan mesas de trabajo con la sectorial para reprogramar el proyecto y ajustarlo conforme a la realidad en la plataforma.</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</si>
  <si>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</si>
  <si>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</si>
  <si>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</si>
  <si>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</si>
  <si>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</si>
  <si>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</si>
  <si>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</si>
  <si>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</si>
  <si>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</si>
  <si>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tramites el acta de liquidación del contrato de interventoría.</t>
  </si>
  <si>
    <t>Proyecto terminado, la sectorial remitió en el mes de febrero la  liquidación pendiente, sin embargo, se está a la espera de mesa de trabajo debido a inconsistencias en los valores.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</si>
  <si>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</si>
  <si>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</si>
  <si>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</si>
  <si>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</si>
  <si>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</si>
  <si>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</si>
  <si>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</si>
  <si>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</si>
  <si>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</si>
  <si>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</si>
  <si>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</si>
  <si>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</si>
  <si>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</si>
  <si>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</si>
  <si>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</si>
  <si>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</si>
  <si>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</si>
  <si>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</si>
  <si>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</si>
  <si>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         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</si>
  <si>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</si>
  <si>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</si>
  <si>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</si>
  <si>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</si>
  <si>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</si>
  <si>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</si>
  <si>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</si>
  <si>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</si>
  <si>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</si>
  <si>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</si>
  <si>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</si>
  <si>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</si>
  <si>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</si>
  <si>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</si>
  <si>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</si>
  <si>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</si>
  <si>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</si>
  <si>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</si>
  <si>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</si>
  <si>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</si>
  <si>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</si>
  <si>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Continúa suspendido</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</si>
  <si>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</si>
  <si>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</si>
  <si>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</si>
  <si>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</si>
  <si>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</si>
  <si>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</si>
  <si>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</si>
  <si>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febrero de octubre y actualmente está a la espera de la suscripción del acta de liquidación y formato de sostenibilidad, requisitos necesarios para proceder con su cierre.</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</si>
  <si>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</si>
  <si>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</si>
  <si>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</si>
  <si>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</si>
  <si>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</si>
  <si>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</si>
  <si>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</si>
  <si>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</si>
  <si>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</si>
  <si>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</si>
  <si>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</si>
  <si>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</si>
  <si>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</si>
  <si>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</si>
  <si>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</si>
  <si>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</si>
  <si>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</si>
  <si>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 xml:space="preserve">Se solicita remitir el avance de ejecución correspondiente al mes de marzo de 2026 o, en su defecto, la información sobre las modificaciones realizadas al proyecto, junto con las pólizas actualizadas derivadas del reinicio o de las prórrogas, debidamente aprobadas. Así mismo, considerando que el proyecto registra un horizonte en Gesproy hasta el mes de marzo, se requiere anexar el acta final en caso de que haya finalizado; de lo contrario, deberá remitirse la documentación correspondiente a la prórroga.
</t>
  </si>
  <si>
    <t>Avance de ejecución del mes de marzo 2026 Formato de entrega de ejecución del mes marzo de 2026 Informe Mensual de obra Firmado por Interventoría - mes de marzo Reprogramación del Proyecto, en formato Excel Formato de entrega de reprogramación</t>
  </si>
  <si>
    <t>Proyecto en estado de ejecución, con contrato en ejecución y calificación de 75 puntos en el mes de febrero, conforme a su avance de ejecución, teniendo en cuenta el costo, la programación y la brecha entre lo físico y lo financiero.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</si>
  <si>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</si>
  <si>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</si>
  <si>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</si>
  <si>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</si>
  <si>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</si>
  <si>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         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</si>
  <si>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</si>
  <si>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</si>
  <si>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</si>
  <si>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</si>
  <si>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         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</si>
  <si>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</si>
  <si>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</si>
  <si>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</si>
  <si>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</si>
  <si>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</si>
  <si>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</si>
  <si>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</si>
  <si>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</si>
  <si>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</si>
  <si>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</si>
  <si>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 xml:space="preserve">Suspendido                                                            </t>
  </si>
  <si>
    <t>SGR - Asignación para la ciencia, tecnología e innovación – Convocatorias 2021 -Ambiente y desarrollo sostenible</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</si>
  <si>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</si>
  <si>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Se envía reprogramación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</si>
  <si>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el acta de reinicio junto con la ejecución del último mes, con el fin de proceder al cierre del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</si>
  <si>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</si>
  <si>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</si>
  <si>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</si>
  <si>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</si>
  <si>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</si>
  <si>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Se solicita remitir avance de ejecución del mes de marzo de 2026 y/o modificaciones si se han presentado, pólizas actualizadas, además se requiere enviar reprogramación conforme a las correcciones establecidas el mes pasado.</t>
  </si>
  <si>
    <t>Avance de ejecución del mes de marzo de 2026. En formato Excel. Documento de soporte de avance de ejecución mes de marzo 2026.</t>
  </si>
  <si>
    <t>Proyecto en estado de ejecución, con contrato en ejecución y calificación de 90 puntos en el mes de febrero, conforme a su avance de ejecución, teniendo en cuenta el costo, la programación y la brecha entre lo físico y lo financiero.</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</si>
  <si>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</si>
  <si>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</si>
  <si>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</si>
  <si>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</si>
  <si>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</si>
  <si>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</si>
  <si>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</si>
  <si>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</si>
  <si>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</si>
  <si>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</si>
  <si>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</si>
  <si>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</si>
  <si>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</si>
  <si>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</si>
  <si>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</si>
  <si>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</si>
  <si>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</si>
  <si>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</si>
  <si>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</si>
  <si>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</si>
  <si>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</si>
  <si>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</si>
  <si>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</si>
  <si>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De conformidad con lo informado en el mes de febrero, el proyecto presentó una solicitud de suspensión. En este sentido, se requiere allegar la minuta contractual de suspensión, en caso de que el proyecto continúe en dicho estado. En caso de que el proyecto haya sido reiniciado, se solicita remitir la minuta de reinicio, junto con las pólizas actualizadas y la respectiva reprogramación del proyecto.
</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</si>
  <si>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</si>
  <si>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el 16 de marzo de 2026.</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</si>
  <si>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</si>
  <si>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</si>
  <si>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</si>
  <si>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</si>
  <si>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</si>
  <si>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</si>
  <si>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</si>
  <si>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</si>
  <si>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</si>
  <si>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</si>
  <si>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</si>
  <si>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</si>
  <si>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</si>
  <si>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</si>
  <si>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</si>
  <si>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е interventoría.</t>
  </si>
  <si>
    <t>El proyecto se encuentra en estado “Terminado”, a la espera de la suscripción de las actas de liquidación de los contratos, así como del diligenciamiento del formato de sostenibilidad e indicadores, requisitos necesarios para proceder con su cierre.</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</si>
  <si>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</si>
  <si>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</si>
  <si>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</si>
  <si>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</si>
  <si>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</si>
  <si>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</si>
  <si>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</si>
  <si>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</si>
  <si>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</si>
  <si>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Teniendo en cuenta que el proyecto se encuentra terminado se solicita remitir acta de liquidación de los contratos de obra e interventoría y el formato de sostenibilidad y beneficiarios del proyecto.</t>
  </si>
  <si>
    <t>Acta de liquidación del Contrato de Obra Póliza del contrato de obra y su aprobación Póliza del contrato de interventoría y su aprobación Acta de Liquidación del contrato de interventoría Acta de entrega de la obra pública al Municipio de Corozal Certificado de beneficiarios y sostenibilidad</t>
  </si>
  <si>
    <t>El proyecto se encuentra  “Terminado” en Gesproy; adicionalmente, se requiere la terminación de los pagos de los contratos  para poder cargar las liquidaciones y pasar el proyecto "PARA CIERRE".</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</si>
  <si>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</si>
  <si>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</si>
  <si>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</si>
  <si>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</si>
  <si>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</si>
  <si>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xml:space="preserve">Se solicita remitir la ejecución correspondiente al mes de marzo de 2026 y/o las modificaciones que hayan sido realizadas, si aplica.
</t>
  </si>
  <si>
    <t>Avance de ejecución del mes de marzo de 2026. Documento de soportes de ejecución mes de marzo de 2026 Informe quincenal de obra Firmado por Interventoría - primera quincena de marzo Informe quincenal de obra Firmado por Interventoría - segunda quincena de marzo</t>
  </si>
  <si>
    <t>Proyecto en estado de ejecución, con contrato en ejecución y calificación de 93,91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</si>
  <si>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</si>
  <si>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</si>
  <si>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</si>
  <si>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</si>
  <si>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</si>
  <si>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</si>
  <si>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</si>
  <si>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Nos permitimos informar que este presenta un avance del 100 % en su ejecución física. No obstante, se encuentra pendiente la culminación de la ejecución financiera, requisito necesario para proceder con la elaboración del acta final.</t>
  </si>
  <si>
    <t>El proyecto se encuentra finalizado, sin embargo, no se ha remitido el acta final, lo que ocasiona que en la plataforma continúe en estado “en ejecución”, generando una baja calificación. En el mes de marzo obtuvo un puntaje de 24, de acuerdo con su avance de ejecución, considerando el costo, la programación y la brecha entre lo físico y lo financiero.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</si>
  <si>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</si>
  <si>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</si>
  <si>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</si>
  <si>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</si>
  <si>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</si>
  <si>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</si>
  <si>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</si>
  <si>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</si>
  <si>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</si>
  <si>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</si>
  <si>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</si>
  <si>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</si>
  <si>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</si>
  <si>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</si>
  <si>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marzo de 2026 y/o las modificaciones realizadas.</t>
  </si>
  <si>
    <t>Avance de ejecución del mes de marzo 2026 Documento de soportes de ejecución mes de marzo Informe quincenal de obra Firmado por Interventoría - primera quincena de marzo Informe quincenal de obra Firmado por Interventoría - segunda quincena de marzo</t>
  </si>
  <si>
    <t>Proyecto en estado de ejecución, con contrato en ejecución y calificación de 78,26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</si>
  <si>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</si>
  <si>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</si>
  <si>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</si>
  <si>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</si>
  <si>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Se solicita remitir ejecución del proyecto correspondiente a la actividad  “Realizar implementación plan fortalecimiento organizacional, la información del mes pasado no correspondió a la ejecución de esta actividad.</t>
  </si>
  <si>
    <t>Se envía documento zip donde se evidencia actividades realizadas correspondiente a la actividad pendiente</t>
  </si>
  <si>
    <t>El proyecto se encuentra terminado; sin embargo, la actividad “Realizar implementación plan de fortalecimiento organizacional” se encuentra pendiente de reporte. La sectorial remitió un informe de supervisión que no es claro, lo que ha impedido realizar el cargue y reporte de dicha actividad.</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</si>
  <si>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</si>
  <si>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</si>
  <si>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</si>
  <si>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</si>
  <si>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</si>
  <si>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 xml:space="preserve">Se solicita remitir el avance de ejecución correspondiente al mes de marzo de 2026 y/o las modificaciones realizadas. 
</t>
  </si>
  <si>
    <t>Avance de ejecución del mes de marzo 2026. Informe Mensual de obra Firmado por Interventoría - mes de marzo Documento de soporte de ejecución mes de marzo de 2026</t>
  </si>
  <si>
    <t>Proyecto en estado de ejecución, con contrato en ejecución y calificación de 81,39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</si>
  <si>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</si>
  <si>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</si>
  <si>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</si>
  <si>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</si>
  <si>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</si>
  <si>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mesa de trabajo para coordinar errores presentados en las cantidades, además 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</si>
  <si>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</si>
  <si>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</si>
  <si>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</si>
  <si>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</si>
  <si>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</si>
  <si>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Avance de ejecución del mes de marzo 2026
Documento soporte de avance d ejecución mes de marzo 2026</t>
  </si>
  <si>
    <t>Proyecto en estado de ejecución, con contrato en ejecución y calificación de 81,39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</si>
  <si>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</si>
  <si>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</si>
  <si>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</si>
  <si>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</si>
  <si>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Se solicita remitir el avance de ejecución correspondiente al mes de marzo  de 2026 y, de ser el caso, las modificaciones que se hayan presentado</t>
  </si>
  <si>
    <t>nos permitimos remitir: • Documento de entrega de avance de obras. • Excel con la ejecución del mes.</t>
  </si>
  <si>
    <t xml:space="preserve">Proyecto en estado de ejecución, con contrato en ejecución y calificación de 90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</si>
  <si>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</si>
  <si>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</si>
  <si>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</si>
  <si>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marzo  de 2026, pólizas actualizadas con acta de inicio del convenio suscrito y/o modificaciones si se han presentado.</t>
  </si>
  <si>
    <t>Proyecto en estado de ejecución, con contrato en ejecución y calificación de 98,26  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</si>
  <si>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</si>
  <si>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</si>
  <si>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</si>
  <si>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</si>
  <si>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</si>
  <si>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con el fin de evitar una eventual liberación de recursos,  y se solicita información del proceso de contratación del proyecto.</t>
  </si>
  <si>
    <t>Se encuentra en el simulador de la página de Colombia Compra para el proceso de contrataciòn</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</si>
  <si>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</si>
  <si>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</si>
  <si>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</si>
  <si>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</si>
  <si>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</si>
  <si>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</si>
  <si>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</si>
  <si>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</si>
  <si>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</si>
  <si>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</si>
  <si>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</si>
  <si>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</si>
  <si>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</si>
  <si>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</si>
  <si>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marzo de 2026 y/o las modificaciones realizadas, así como informar el estado de inicio de los demás contratos suscritos en el marco del proyecto.</t>
  </si>
  <si>
    <t>Avance de ejecución del mes de marzo de 2026 - Informe de Supervisión mes de marzo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</si>
  <si>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</si>
  <si>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</si>
  <si>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</si>
  <si>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</si>
  <si>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</si>
  <si>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</si>
  <si>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</si>
  <si>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</si>
  <si>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t>
  </si>
  <si>
    <t>Contrato de obra contratado El contrato de Interventoría fue declarado desierto. No se ha publicado nuevo proceso.</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</si>
  <si>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</si>
  <si>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</si>
  <si>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</si>
  <si>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</si>
  <si>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la remisión de la ejecución correspondiente al mes de marzo de 2026 y/o modificaciones.</t>
  </si>
  <si>
    <t>Se envía informe de avance del mes de marzo</t>
  </si>
  <si>
    <t>Proyecto en estado de ejecución, con contrato en ejecución y calificación de 96  puntos en el mes de marzo, conforme a su avance de ejecución, teniendo en cuenta el costo, la programación y la brecha entre lo físico y lo financiero. (informe de supervisión tuvo que ser corregido)</t>
  </si>
  <si>
    <t>Mejoramiento de la vía sampues-Segovia-Sincelejo en el departamento de  Sucre</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</si>
  <si>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</si>
  <si>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</si>
  <si>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</si>
  <si>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</si>
  <si>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</si>
  <si>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Se solicita remitir la información correspondiente a las actas finales y de liquidación del convenio principal y de los contratos de prestación de servicios asociados al proyecto, incluyendo acta final numérica o balance final, registro fotográfico final y el cumplimiento de indicadores. Lo anterior, teniendo en cuenta que el proyecto no se ejecutará en su totalidad, por lo cual es necesario contar con el acta final numérica que permita verificar las cantidades reportadas y proceder con el cambio de estado a “terminado”. Asimismo, se requiere validar el número de beneficiarios y las metas cumplidas, dado que el total de acciones proyectadas no será ejecutado en su totalidad.</t>
  </si>
  <si>
    <t xml:space="preserve">Se recibió información de:
- Actas de inicios de los contratos OPS
- Acta de posesión supervisores del proyecto
-Actas finales de los contratos OPS
- Raciones ejecutadas
-  Perfiles equipo de supervisión 
</t>
  </si>
  <si>
    <t>El proyecto continúa en estado “en ejecución”, no obstante, se requiere reorganizar y complementar la información suministrada por la sectorial, con el fin de actualizar su estado a “terminado”.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</si>
  <si>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</si>
  <si>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</si>
  <si>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</si>
  <si>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</si>
  <si>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xml:space="preserve">Se informa que el proyecto se encuentra registrado en el aplicativo Gesproy en estado “CONTRATADO SIN ACTA DE INICIO”. En este sentido, se solicita remitir la información correspondiente a los contratistas de obra, interventoría y apoyo a la supervisión (RUT, acta consorcial y pólizas iniciales). Adicionalmente, se recuerda que, conforme al acta de inicio, el proyecto dio inicio en el mes de febrero y, a la fecha, no se cuenta con la programación inicial. De acuerdo con los nuevos lineamientos del DNP, la no presentación oportuna de esta programación genera descoordinación en la plataforma. Por lo anterior, se requiere de manera URGENTE el envío de la programación inicial.
</t>
  </si>
  <si>
    <t>Avance de ejecución del mes de marzo 2026, en formato Excel Documento de soportes de ejecución mes de marzo Programación Inicial en formato Excel Documento de Programación Inicial</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</si>
  <si>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</si>
  <si>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</si>
  <si>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</si>
  <si>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</si>
  <si>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 xml:space="preserve">Se solicita remitir el avance de ejecución correspondiente al mes de marzo de 2026 y/o las modificaciones realizadas, además se solicita información de los contratistas (Rut, acta consorcial, pólizas iniciales), minutas contractuales. </t>
  </si>
  <si>
    <t>Avance de ejecución del mes de marzo 2026 Informe de Supervisión mes de marzo 2026</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</si>
  <si>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</si>
  <si>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</si>
  <si>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</si>
  <si>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</si>
  <si>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</si>
  <si>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Resolución de adjudicación No. 1401 del 8 de abril de 2026 El proceso del contrato de interventoría, sin publicar</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</si>
  <si>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</si>
  <si>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</si>
  <si>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</si>
  <si>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</si>
  <si>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</si>
  <si>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</si>
  <si>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</si>
  <si>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</si>
  <si>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         Se encuentra en el aplicativo Gesproy en estado “SIN CONTRATAR”. Se solicita remitir información actualizada sobre el estado de contratación.</t>
  </si>
  <si>
    <t>Nos permitimos informar que: • El proyecto se encuentra adjudicado desde el 13 de marzo de 2026 y contratado. • Cuenta con Registro Presupuesta (RP) No. 1426 de fecha 27 de marzo de 2026. • Se realizó el pago de las estampillas correspondientes. • Dispone de pólizas requeridas aprobadas. • Se encuentra pendiente la socialización, necesaria para el perfeccionamiento contractual. Una vez surtida la socialización, se procederá con la firma del acta de inicio y el posterior cargue de la programación en la plataforma GESPROY. Se anexan los siguientes documentos: Resolución de adjudicación, Registro Presupuestal, pólizas, soporte de pago de estampillas y pantallazo de aprobación de las pólizas del contrato en secop II.</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</si>
  <si>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</si>
  <si>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</si>
  <si>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</si>
  <si>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</si>
  <si>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</si>
  <si>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Se encuentra en el aplicativo Gesproy en estado “CONTRATADO SIN ACTA DE INICIO” se solicita remitir pólizas iniciales debidamente aprobadas, la programación inicial de ejecución y acta de inicio de obra  e interventoría.</t>
  </si>
  <si>
    <t>Nos permitimos informar que: • El contratista realizó el pago de las estampillas correspondientes. • El proyecto ya se encuentra contratado y cuenta con Registro Presupuestal (RP) No. 626 de fecha 4 de febrero de 2026. • Dispone de pólizas requeridas aprobadas. Se está a la espera de la firma del acta de inicio y posterior cargue de la programación en la plataforma de GESPROY. Se anexan los siguientes documentos: Estampillas, Registro Presupuestal, Pólizas del contrato y pantallazo de aprobación de las pólizas del contrato en secop II.</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</si>
  <si>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</si>
  <si>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</si>
  <si>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</si>
  <si>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</si>
  <si>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</si>
  <si>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Resolución de apertura No. 1397 de 8 de abril de 2026, de la Consultoría Aviso de Convocatoria del Proceso No. CM-004-2026 El proceso del contrato de interventoría no se ha publicado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</si>
  <si>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</si>
  <si>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</si>
  <si>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</si>
  <si>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</si>
  <si>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xml:space="preserve"> 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</si>
  <si>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</si>
  <si>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</si>
  <si>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</si>
  <si>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</si>
  <si>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</si>
  <si>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</si>
  <si>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</si>
  <si>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</si>
  <si>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</si>
  <si>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</si>
  <si>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</si>
  <si>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</si>
  <si>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</si>
  <si>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</si>
  <si>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</si>
  <si>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</si>
  <si>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</si>
  <si>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</si>
  <si>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</si>
  <si>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</si>
  <si>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</si>
  <si>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</si>
  <si>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</si>
  <si>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</si>
  <si>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</si>
  <si>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</si>
  <si>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</si>
  <si>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</si>
  <si>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</si>
  <si>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</si>
  <si>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</si>
  <si>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</si>
  <si>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</si>
  <si>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</si>
  <si>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</si>
  <si>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</si>
  <si>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</si>
  <si>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</si>
  <si>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</si>
  <si>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</si>
  <si>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</si>
  <si>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</si>
  <si>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</si>
  <si>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</si>
  <si>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</si>
  <si>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</si>
  <si>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</si>
  <si>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</si>
  <si>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</si>
  <si>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</si>
  <si>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</si>
  <si>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</si>
  <si>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</si>
  <si>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</si>
  <si>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</si>
  <si>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</si>
  <si>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</si>
  <si>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</si>
  <si>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</si>
  <si>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</si>
  <si>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</si>
  <si>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</si>
  <si>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</si>
  <si>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</si>
  <si>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</si>
  <si>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</si>
  <si>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</si>
  <si>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</si>
  <si>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</si>
  <si>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</si>
  <si>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</si>
  <si>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</si>
  <si>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</si>
  <si>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</si>
  <si>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</si>
  <si>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</si>
  <si>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</si>
  <si>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</si>
  <si>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</si>
  <si>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</si>
  <si>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</si>
  <si>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</si>
  <si>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</si>
  <si>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</si>
  <si>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</si>
  <si>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</si>
  <si>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</si>
  <si>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</si>
  <si>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</si>
  <si>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</si>
  <si>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</si>
  <si>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</si>
  <si>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</si>
  <si>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</si>
  <si>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</si>
  <si>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</si>
  <si>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</si>
  <si>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</si>
  <si>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</si>
  <si>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</si>
  <si>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</si>
  <si>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</si>
  <si>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</si>
  <si>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</si>
  <si>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</si>
  <si>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</si>
  <si>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</si>
  <si>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</si>
  <si>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</si>
  <si>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</si>
  <si>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</si>
  <si>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</si>
  <si>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</si>
  <si>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</si>
  <si>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</si>
  <si>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</si>
  <si>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</si>
  <si>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</si>
  <si>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</si>
  <si>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</si>
  <si>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</si>
  <si>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</si>
  <si>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</si>
  <si>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</si>
  <si>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</si>
  <si>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</si>
  <si>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</si>
  <si>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</si>
  <si>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</si>
  <si>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</si>
  <si>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</si>
  <si>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</si>
  <si>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</si>
  <si>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</si>
  <si>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</si>
  <si>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</si>
  <si>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</si>
  <si>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</si>
  <si>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</si>
  <si>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</si>
  <si>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</si>
  <si>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</si>
  <si>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</si>
  <si>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</si>
  <si>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</si>
  <si>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</si>
  <si>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</si>
  <si>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</si>
  <si>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</si>
  <si>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</si>
  <si>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</si>
  <si>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</si>
  <si>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</si>
  <si>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</si>
  <si>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</si>
  <si>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</si>
  <si>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</si>
  <si>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</si>
  <si>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</si>
  <si>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</si>
  <si>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</si>
  <si>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</si>
  <si>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</si>
  <si>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</si>
  <si>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</si>
  <si>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</si>
  <si>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</si>
  <si>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</si>
  <si>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</si>
  <si>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</si>
  <si>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</si>
  <si>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</si>
  <si>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</si>
  <si>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</si>
  <si>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</si>
  <si>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</si>
  <si>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</si>
  <si>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</si>
  <si>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</si>
  <si>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</si>
  <si>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</si>
  <si>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</si>
  <si>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</si>
  <si>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</si>
  <si>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</si>
  <si>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</si>
  <si>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</si>
  <si>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</si>
  <si>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</si>
  <si>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</si>
  <si>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</si>
  <si>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</si>
  <si>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</si>
  <si>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</si>
  <si>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</si>
  <si>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</si>
  <si>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</si>
  <si>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</si>
  <si>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</si>
  <si>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</si>
  <si>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</si>
  <si>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</si>
  <si>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</si>
  <si>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</si>
  <si>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</si>
  <si>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</si>
  <si>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</si>
  <si>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</si>
  <si>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</si>
  <si>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</si>
  <si>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</si>
  <si>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</si>
  <si>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</si>
  <si>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</si>
  <si>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</si>
  <si>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</si>
  <si>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</si>
  <si>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</si>
  <si>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</si>
  <si>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</si>
  <si>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</si>
  <si>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</si>
  <si>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</si>
  <si>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</si>
  <si>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</si>
  <si>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</si>
  <si>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</si>
  <si>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</si>
  <si>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</si>
  <si>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</si>
  <si>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</si>
  <si>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</si>
  <si>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</si>
  <si>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</si>
  <si>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</si>
  <si>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</si>
  <si>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</si>
  <si>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</si>
  <si>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</si>
  <si>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</si>
  <si>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</si>
  <si>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</si>
  <si>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</si>
  <si>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</si>
  <si>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</si>
  <si>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</si>
  <si>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</si>
  <si>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</si>
  <si>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</si>
  <si>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</si>
  <si>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</si>
  <si>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</si>
  <si>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</si>
  <si>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</si>
  <si>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</si>
  <si>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</si>
  <si>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</si>
  <si>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</si>
  <si>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</si>
  <si>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</si>
  <si>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</si>
  <si>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</si>
  <si>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</si>
  <si>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</si>
  <si>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</si>
  <si>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</si>
  <si>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</si>
  <si>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</si>
  <si>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</si>
  <si>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</si>
  <si>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</si>
  <si>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</si>
  <si>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</si>
  <si>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</si>
  <si>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</si>
  <si>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</si>
  <si>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</si>
  <si>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</si>
  <si>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</si>
  <si>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</si>
  <si>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</si>
  <si>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</si>
  <si>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</si>
  <si>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</si>
  <si>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</si>
  <si>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</si>
  <si>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</si>
  <si>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</si>
  <si>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</si>
  <si>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</si>
  <si>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</si>
  <si>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</si>
  <si>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</si>
  <si>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</si>
  <si>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</si>
  <si>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</si>
  <si>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</si>
  <si>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</si>
  <si>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</si>
  <si>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</si>
  <si>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</si>
  <si>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</si>
  <si>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</si>
  <si>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</si>
  <si>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</si>
  <si>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</si>
  <si>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</si>
  <si>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</si>
  <si>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</si>
  <si>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</si>
  <si>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</si>
  <si>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</si>
  <si>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</si>
  <si>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</si>
  <si>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</si>
  <si>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</si>
  <si>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</si>
  <si>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</si>
  <si>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</si>
  <si>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</si>
  <si>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</si>
  <si>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</si>
  <si>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</si>
  <si>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</si>
  <si>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</si>
  <si>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</si>
  <si>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</si>
  <si>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</si>
  <si>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</si>
  <si>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</si>
  <si>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</si>
  <si>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</si>
  <si>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</si>
  <si>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</si>
  <si>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</si>
  <si>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</si>
  <si>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</si>
  <si>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</si>
  <si>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</si>
  <si>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</si>
  <si>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</si>
  <si>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</si>
  <si>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</si>
  <si>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</si>
  <si>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</si>
  <si>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</si>
  <si>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</si>
  <si>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</si>
  <si>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</si>
  <si>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</si>
  <si>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</si>
  <si>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</si>
  <si>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</si>
  <si>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</si>
  <si>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</si>
  <si>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</si>
  <si>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</si>
  <si>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</si>
  <si>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</si>
  <si>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</si>
  <si>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</si>
  <si>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</si>
  <si>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</si>
  <si>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</si>
  <si>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</si>
  <si>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</si>
  <si>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</si>
  <si>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</si>
  <si>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</si>
  <si>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</si>
  <si>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</si>
  <si>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</si>
  <si>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</si>
  <si>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</si>
  <si>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</si>
  <si>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</si>
  <si>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</si>
  <si>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</si>
  <si>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</si>
  <si>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</si>
  <si>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</si>
  <si>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</si>
  <si>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</si>
  <si>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</si>
  <si>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</si>
  <si>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</si>
  <si>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</si>
  <si>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</si>
  <si>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</si>
  <si>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</si>
  <si>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</si>
  <si>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</si>
  <si>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</si>
  <si>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</si>
  <si>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</si>
  <si>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</si>
  <si>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</si>
  <si>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</si>
  <si>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</si>
  <si>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</si>
  <si>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</si>
  <si>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</si>
  <si>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</si>
  <si>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</si>
  <si>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</si>
  <si>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</si>
  <si>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</si>
  <si>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</si>
  <si>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</si>
  <si>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</si>
  <si>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</si>
  <si>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</si>
  <si>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</si>
  <si>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</si>
  <si>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</si>
  <si>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</si>
  <si>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</si>
  <si>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</si>
  <si>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</si>
  <si>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</si>
  <si>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</si>
  <si>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</si>
  <si>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</si>
  <si>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</si>
  <si>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</si>
  <si>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</si>
  <si>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</si>
  <si>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</si>
  <si>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</si>
  <si>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</si>
  <si>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</si>
  <si>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</si>
  <si>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</si>
  <si>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</si>
  <si>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</si>
  <si>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</si>
  <si>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</si>
  <si>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</si>
  <si>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</si>
  <si>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</si>
  <si>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</si>
  <si>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</si>
  <si>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</si>
  <si>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</si>
  <si>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</si>
  <si>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</si>
  <si>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</si>
  <si>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</si>
  <si>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</si>
  <si>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ejecución con contrato suspendido</t>
  </si>
  <si>
    <t>Proyecto terminado pero sigue apareciendo en la plataforma en ejecución</t>
  </si>
  <si>
    <t>CAMBIO</t>
  </si>
  <si>
    <t>MATRIZ</t>
  </si>
  <si>
    <t xml:space="preserve">AGREGAR COLUMNA </t>
  </si>
  <si>
    <t xml:space="preserve">DEPARTAMENTO </t>
  </si>
  <si>
    <t>HORIZONTE EN DESCENTRALIZADAS</t>
  </si>
  <si>
    <t xml:space="preserve">RESPONSABLE DEL PROYECTO </t>
  </si>
  <si>
    <t>DESCENTRALIZADAS</t>
  </si>
  <si>
    <t>TIPO DE CAMBIO</t>
  </si>
  <si>
    <t>AGREGAR CARACTERISTICAS</t>
  </si>
  <si>
    <t>% FÍSICO Y FINANCIERO EN LA TARJETA DE ESTADO DEL PROYECTO</t>
  </si>
  <si>
    <t>PÁGINA REPORTE  SEGUIMIENTO</t>
  </si>
  <si>
    <t xml:space="preserve">REVISIÓN </t>
  </si>
  <si>
    <t>REPORTE DE EXCEL</t>
  </si>
  <si>
    <t>AJUSTE</t>
  </si>
  <si>
    <t>CÁLCULO H2</t>
  </si>
  <si>
    <t>AGREGAR LOS MUNICIPIOS</t>
  </si>
  <si>
    <t>AGREGAR LAS DESCENTRALIZADAS</t>
  </si>
  <si>
    <t>RESPONSABLE CARGUE EN GESPROY</t>
  </si>
  <si>
    <t>YEIMI MONTAÑA DÍAZ</t>
  </si>
  <si>
    <t>SERGIO VILLALBA MERCADO</t>
  </si>
  <si>
    <t xml:space="preserve">LUIS FERNANDO ARRIETA PINZÓN </t>
  </si>
  <si>
    <t>YEIMI MONTAÑA DÍAZ
ASDRUVAL AVILEZ DÍAZ</t>
  </si>
  <si>
    <t xml:space="preserve">SERGIO VILLALBA MERCADO
ASDRUVAL AVILEZ DÍAZ
</t>
  </si>
  <si>
    <t>ZAMARA GARCÍA MARTÍNEZ</t>
  </si>
  <si>
    <t>OSVALDO SIERRA CARVAJALINO</t>
  </si>
  <si>
    <t>NOMBRE DE COLUMNA</t>
  </si>
  <si>
    <t>DESCENTRALIZADAS Y MUNIICIPIOS</t>
  </si>
  <si>
    <t>AGREGAR COLUMNA DE SECTOR</t>
  </si>
  <si>
    <t>HITO 2 E HITO 1 QUE NO SE REPITAN LOS PROYECTOS</t>
  </si>
  <si>
    <t>PAGINA FILTRO DE LOS MUNICIPIOS</t>
  </si>
  <si>
    <t>DÍAS DE CORTE Y DÍAS A FECHA ACTUAL</t>
  </si>
  <si>
    <t xml:space="preserve">PAGINA REPORTE SEGUIMIENTO </t>
  </si>
  <si>
    <t xml:space="preserve">MOSTRAR COMENTARIOS DE LA MATRIZ EN LOS HITOS </t>
  </si>
  <si>
    <t>Pendiente agregar en la herramienta de consolidación</t>
  </si>
  <si>
    <t>Realizado</t>
  </si>
  <si>
    <t>5/05/2026: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01/04/2026</t>
  </si>
  <si>
    <t xml:space="preserve">05/05/2026: Proyecto en estado “Sin contratar”,  sin registro de proceso precontractual en SECOP II, cuenta con CDP, en elaboración de estudios previos por parte de la sectorial.
</t>
  </si>
  <si>
    <t xml:space="preserve">
05/05/2026: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</si>
  <si>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 xml:space="preserve">05/05/2026: Proyecto en estado “Sin contratar”,  sin registro de proceso precontractual en SECOP II. Se encuentra en elaboración de estudios previos por parte de la sectorial
</t>
  </si>
  <si>
    <t xml:space="preserve">
05/05/2026: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</si>
  <si>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05/05/2026 :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</si>
  <si>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05/05/2026: Proyecto en estado “Sin contratar”,  sin registro de proceso precontractual en SECOP II. Se encuentra en elaboración de estudios previos por parte de la sectorial</t>
  </si>
  <si>
    <t xml:space="preserve">05/05/2026: 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</si>
  <si>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 xml:space="preserve">05/05/2026: 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</si>
  <si>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 xml:space="preserve">
05/05/2026: El proyecto ya cuenta con acta de inicio y programación inicial, las cuales serán cargadas en la plataforma Gesproy para su cambio al estado ‘En ejecución’. En consecuencia, el proyecto deja de presentar alerta por falta de acta  inicio.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</si>
</sst>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dd/mm/yyyy"/>
  </numFmts>
  <fonts count="9"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sz val="10"/>
      <color theme="1"/>
      <name val="Roboto"/>
    </font>
    <font>
      <b/>
      <sz val="11"/>
      <color theme="1"/>
      <name val="Calibri"/>
      <family val="2"/>
      <scheme val="minor"/>
    </font>
    <font>
      <sz val="10"/>
      <name val="Roboto"/>
      <family val="2"/>
    </font>
    <font>
      <b/>
      <i/>
      <sz val="11"/>
      <color theme="1"/>
      <name val="Roboto"/>
    </font>
    <font>
      <b/>
      <sz val="10"/>
      <color theme="1"/>
      <name val="Roboto"/>
    </font>
  </fonts>
  <fills count="14">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FFFF00"/>
        <bgColor indexed="64"/>
      </patternFill>
    </fill>
    <fill>
      <patternFill patternType="solid">
        <fgColor theme="5"/>
        <bgColor indexed="64"/>
      </patternFill>
    </fill>
    <fill>
      <patternFill patternType="solid">
        <fgColor theme="5" tint="0.79998168889431442"/>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6"/>
        <bgColor indexed="64"/>
      </patternFill>
    </fill>
    <fill>
      <patternFill patternType="solid">
        <fgColor theme="4" tint="0.79998168889431442"/>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33">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3" fillId="6" borderId="1" xfId="0" applyFont="1" applyFill="1" applyBorder="1" applyAlignment="1">
      <alignment horizontal="center" vertical="center" wrapText="1"/>
    </xf>
    <xf numFmtId="164" fontId="4" fillId="0" borderId="1" xfId="0" applyNumberFormat="1" applyFont="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5" fillId="0" borderId="1" xfId="0" applyFont="1" applyBorder="1"/>
    <xf numFmtId="0" fontId="0" fillId="0" borderId="1" xfId="0" applyBorder="1" applyAlignment="1">
      <alignment vertical="center" wrapText="1"/>
    </xf>
    <xf numFmtId="0" fontId="0" fillId="0" borderId="1" xfId="0" applyBorder="1" applyAlignment="1">
      <alignment wrapText="1"/>
    </xf>
    <xf numFmtId="0" fontId="0" fillId="0" borderId="1" xfId="0" applyBorder="1"/>
    <xf numFmtId="166" fontId="3" fillId="0" borderId="1" xfId="0" applyNumberFormat="1" applyFont="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0" fillId="0" borderId="1" xfId="0" applyBorder="1" applyAlignment="1">
      <alignment horizontal="center" vertical="center"/>
    </xf>
    <xf numFmtId="0" fontId="0" fillId="0" borderId="2" xfId="0" applyBorder="1" applyAlignment="1">
      <alignment horizontal="center" vertical="center"/>
    </xf>
    <xf numFmtId="14" fontId="0" fillId="0" borderId="1" xfId="0" applyNumberFormat="1" applyBorder="1" applyAlignment="1">
      <alignment horizontal="center" vertical="center"/>
    </xf>
    <xf numFmtId="1" fontId="3" fillId="8" borderId="1" xfId="0" applyNumberFormat="1" applyFont="1" applyFill="1" applyBorder="1" applyAlignment="1">
      <alignment horizontal="center" vertical="center" wrapText="1"/>
    </xf>
    <xf numFmtId="0" fontId="5"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166" fontId="7" fillId="6" borderId="1" xfId="0" applyNumberFormat="1" applyFont="1" applyFill="1" applyBorder="1" applyAlignment="1">
      <alignment horizontal="center" vertical="center" wrapText="1"/>
    </xf>
    <xf numFmtId="166" fontId="8" fillId="6" borderId="1" xfId="0" applyNumberFormat="1" applyFont="1" applyFill="1" applyBorder="1" applyAlignment="1">
      <alignment horizontal="center" vertical="center" wrapText="1"/>
    </xf>
    <xf numFmtId="0" fontId="3" fillId="0" borderId="1" xfId="0" applyFont="1" applyBorder="1" applyAlignment="1">
      <alignment horizontal="left"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23">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numFmt numFmtId="19" formatCode="d/mm/yyyy"/>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W58" totalsRowShown="0">
  <autoFilter ref="A2:AW58" xr:uid="{00000000-0009-0000-0100-000001000000}"/>
  <tableColumns count="49">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 id="49" xr3:uid="{13FEDD79-59CD-4A59-97F8-8DE831491970}" name="RESPONSABLE CARGUE EN GESPROY" dataDxfId="2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dataDxfId="21">
      <calculatedColumnFormula>+OtrosEjecutoresDescentralizadas[[#This Row],[FECHA DE MIGRACIÓN A GESPROY]]+1</calculatedColumnFormula>
    </tableColumn>
    <tableColumn id="14" xr3:uid="{00000000-0010-0000-0100-00000E000000}" name="FECHA DE INCORPORACIÓN DE RECURSOS" dataDxfId="20"/>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38" xr3:uid="{29D10468-846C-4252-8639-4B1971D4562B}" name="HORIZONTE DEL PROYECTO" dataDxfId="19"/>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dataDxfId="18">
  <autoFilter ref="A2:R104" xr:uid="{00000000-0009-0000-0100-000003000000}"/>
  <tableColumns count="18">
    <tableColumn id="1" xr3:uid="{00000000-0010-0000-0200-000001000000}" name="BPIN" dataDxfId="17"/>
    <tableColumn id="2" xr3:uid="{00000000-0010-0000-0200-000002000000}" name="EJECUTOR" dataDxfId="16"/>
    <tableColumn id="3" xr3:uid="{00000000-0010-0000-0200-000003000000}" name="NOMBRE DEL PROYECTO" dataDxfId="15"/>
    <tableColumn id="4" xr3:uid="{00000000-0010-0000-0200-000004000000}" name="ALCANCE" dataDxfId="14"/>
    <tableColumn id="5" xr3:uid="{00000000-0010-0000-0200-000005000000}" name="SECTOR" dataDxfId="13"/>
    <tableColumn id="6" xr3:uid="{00000000-0010-0000-0200-000006000000}" name="FUENTE" dataDxfId="12"/>
    <tableColumn id="7" xr3:uid="{00000000-0010-0000-0200-000007000000}" name="ESTADO PROYECTO" dataDxfId="11"/>
    <tableColumn id="8" xr3:uid="{00000000-0010-0000-0200-000008000000}" name="ESTADO CONTRATO" dataDxfId="10"/>
    <tableColumn id="9" xr3:uid="{00000000-0010-0000-0200-000009000000}" name="VALOR SGR" dataDxfId="9"/>
    <tableColumn id="10" xr3:uid="{00000000-0010-0000-0200-00000A000000}" name="VALOR OTROS" dataDxfId="8"/>
    <tableColumn id="11" xr3:uid="{00000000-0010-0000-0200-00000B000000}" name="VALOR TOTAL" dataDxfId="7"/>
    <tableColumn id="12" xr3:uid="{00000000-0010-0000-0200-00000C000000}" name="FECHA APROBACIÓN PROYECTO" dataDxfId="6"/>
    <tableColumn id="13" xr3:uid="{00000000-0010-0000-0200-00000D000000}" name="FECHA DE ASIGNACIÓN DE RECURSOS" dataDxfId="5"/>
    <tableColumn id="14" xr3:uid="{00000000-0010-0000-0200-00000E000000}" name="FECHA DE INCORPORACIÓN DE RECURSOS" dataDxfId="4"/>
    <tableColumn id="15" xr3:uid="{00000000-0010-0000-0200-00000F000000}" name="FECHA ACTA INICIO" dataDxfId="3"/>
    <tableColumn id="16" xr3:uid="{00000000-0010-0000-0200-000010000000}" name="AVANCE FÍSICO" dataDxfId="2"/>
    <tableColumn id="17" xr3:uid="{00000000-0010-0000-0200-000011000000}" name="AVANCE FINANCIERO" dataDxfId="1"/>
    <tableColumn id="18" xr3:uid="{00000000-0010-0000-0200-000012000000}" name="COMENTARIOS " dataDxfId="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58"/>
  <sheetViews>
    <sheetView tabSelected="1" topLeftCell="AN1" workbookViewId="0">
      <selection activeCell="D4" sqref="D4"/>
    </sheetView>
  </sheetViews>
  <sheetFormatPr baseColWidth="10" defaultColWidth="9.140625" defaultRowHeight="15" x14ac:dyDescent="0.25"/>
  <cols>
    <col min="1" max="2" width="25.7109375" customWidth="1"/>
    <col min="3" max="3" width="35.28515625" customWidth="1"/>
    <col min="4" max="4" width="46.28515625" customWidth="1"/>
    <col min="5" max="5" width="25.7109375" customWidth="1"/>
    <col min="6" max="6" width="43.28515625" customWidth="1"/>
    <col min="7" max="31" width="25.7109375" customWidth="1"/>
    <col min="32" max="32" width="56.7109375" customWidth="1"/>
    <col min="33" max="33" width="34.28515625" customWidth="1"/>
    <col min="34" max="47" width="25.7109375" customWidth="1"/>
    <col min="48" max="48" width="42.28515625" customWidth="1"/>
    <col min="49" max="49" width="32.7109375" customWidth="1"/>
  </cols>
  <sheetData>
    <row r="1" spans="1:49" ht="39.950000000000003" customHeight="1" x14ac:dyDescent="0.25">
      <c r="A1" s="31" t="s">
        <v>0</v>
      </c>
      <c r="B1" s="31"/>
      <c r="C1" s="31"/>
      <c r="D1" s="31"/>
      <c r="E1" s="31"/>
      <c r="F1" s="31"/>
      <c r="G1" s="31"/>
      <c r="H1" s="31"/>
      <c r="I1" s="31"/>
      <c r="J1" s="31"/>
      <c r="K1" s="31"/>
      <c r="L1" s="31"/>
      <c r="M1" s="31"/>
      <c r="N1" s="31"/>
      <c r="O1" s="31"/>
      <c r="P1" s="31"/>
      <c r="Q1" s="31"/>
      <c r="R1" s="31"/>
      <c r="S1" s="31"/>
      <c r="T1" s="31"/>
      <c r="U1" s="32" t="s">
        <v>1</v>
      </c>
      <c r="V1" s="32"/>
      <c r="W1" s="32"/>
      <c r="X1" s="32"/>
      <c r="Y1" s="32"/>
      <c r="Z1" s="32"/>
      <c r="AA1" s="32"/>
      <c r="AB1" s="32"/>
      <c r="AC1" s="32"/>
      <c r="AD1" s="32"/>
      <c r="AE1" s="32"/>
      <c r="AF1" s="32"/>
      <c r="AG1" s="32"/>
      <c r="AH1" s="32"/>
      <c r="AI1" s="32"/>
      <c r="AJ1" s="32"/>
      <c r="AK1" s="32"/>
      <c r="AL1" s="32"/>
      <c r="AM1" s="32"/>
      <c r="AN1" s="32"/>
      <c r="AO1" s="32"/>
      <c r="AP1" s="32"/>
      <c r="AQ1" s="31" t="s">
        <v>2</v>
      </c>
      <c r="AR1" s="31"/>
      <c r="AS1" s="31"/>
      <c r="AT1" s="31"/>
      <c r="AU1" s="31"/>
      <c r="AV1" s="31"/>
    </row>
    <row r="2" spans="1:49" ht="69.9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c r="AW2" s="26" t="s">
        <v>895</v>
      </c>
    </row>
    <row r="3" spans="1:49" ht="112.5" customHeight="1" x14ac:dyDescent="0.25">
      <c r="A3" s="3" t="s">
        <v>51</v>
      </c>
      <c r="B3" s="3" t="s">
        <v>52</v>
      </c>
      <c r="C3" s="3" t="s">
        <v>53</v>
      </c>
      <c r="D3" s="3" t="s">
        <v>54</v>
      </c>
      <c r="E3" s="3" t="s">
        <v>55</v>
      </c>
      <c r="F3" s="3" t="s">
        <v>56</v>
      </c>
      <c r="G3" s="3" t="s">
        <v>57</v>
      </c>
      <c r="H3" s="3" t="s">
        <v>58</v>
      </c>
      <c r="I3" s="3" t="s">
        <v>59</v>
      </c>
      <c r="J3" s="3" t="s">
        <v>60</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c r="AE3" s="5">
        <v>46127</v>
      </c>
      <c r="AF3" s="3"/>
      <c r="AG3" s="3"/>
      <c r="AH3" s="5"/>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t="str">
        <f t="shared" ref="AR3:AR34" si="4">IF(ISNUMBER($AH3),IF(DAY($AH3)=10,100,IF(DAY($AH3)=11,80,IF(DAY($AH3)=12,50,0))),"")</f>
        <v/>
      </c>
      <c r="AS3" s="4"/>
      <c r="AT3" s="3">
        <f t="shared" ref="AT3:AT34" si="5">IF($AP3=0,100,IF($AP3=1,90,IF($AP3=2,75,IF($AP3=3,60,IF($AP3=4,50,IF($AP3=5,25,IF($AP3&gt;=6,0,"")))))))</f>
        <v>100</v>
      </c>
      <c r="AU3" s="3" t="str">
        <f t="shared" ref="AU3:AU34" si="6">IFERROR(IF(AND($G3="CONTRATADO EN EJECUCIÓN",$AP3&gt;=1),(IFERROR(IF(ISTEXT($AF3),($AL3*0.4+$AM3*0.2+$AO3*0.4),""),""))*$AT3/100,IFERROR(IF(ISTEXT($AF3),($AL3*0.4+$AM3*0.2+$AO3*0.4),""),"")),0)</f>
        <v/>
      </c>
      <c r="AV3" s="3" t="s">
        <v>61</v>
      </c>
      <c r="AW3" s="23" t="s">
        <v>901</v>
      </c>
    </row>
    <row r="4" spans="1:49" ht="69.95" customHeight="1" x14ac:dyDescent="0.25">
      <c r="A4" s="3" t="s">
        <v>62</v>
      </c>
      <c r="B4" s="3" t="s">
        <v>63</v>
      </c>
      <c r="C4" s="11" t="s">
        <v>64</v>
      </c>
      <c r="D4" s="3" t="s">
        <v>65</v>
      </c>
      <c r="E4" s="3" t="s">
        <v>66</v>
      </c>
      <c r="F4" s="3" t="s">
        <v>67</v>
      </c>
      <c r="G4" s="3" t="s">
        <v>68</v>
      </c>
      <c r="H4" s="3" t="s">
        <v>58</v>
      </c>
      <c r="I4" s="3" t="s">
        <v>69</v>
      </c>
      <c r="J4" s="3" t="s">
        <v>70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46127</v>
      </c>
      <c r="AF4" s="3"/>
      <c r="AG4" s="3"/>
      <c r="AH4" s="5"/>
      <c r="AI4" s="3"/>
      <c r="AJ4" s="3"/>
      <c r="AK4" s="3"/>
      <c r="AL4" s="3">
        <f t="shared" si="0"/>
        <v>0</v>
      </c>
      <c r="AM4" s="3">
        <f t="shared" si="1"/>
        <v>0</v>
      </c>
      <c r="AN4" s="3">
        <f t="shared" si="2"/>
        <v>100</v>
      </c>
      <c r="AO4" s="3">
        <f t="shared" si="3"/>
        <v>100</v>
      </c>
      <c r="AP4" s="3">
        <v>0</v>
      </c>
      <c r="AQ4" s="3"/>
      <c r="AR4" s="3" t="str">
        <f t="shared" si="4"/>
        <v/>
      </c>
      <c r="AS4" s="4"/>
      <c r="AT4" s="3">
        <f t="shared" si="5"/>
        <v>100</v>
      </c>
      <c r="AU4" s="3" t="str">
        <f t="shared" si="6"/>
        <v/>
      </c>
      <c r="AV4" s="3" t="s">
        <v>71</v>
      </c>
      <c r="AW4" s="22" t="s">
        <v>896</v>
      </c>
    </row>
    <row r="5" spans="1:49" ht="69.95" customHeight="1" x14ac:dyDescent="0.25">
      <c r="A5" s="3" t="s">
        <v>72</v>
      </c>
      <c r="B5" s="3" t="s">
        <v>73</v>
      </c>
      <c r="C5" s="3" t="s">
        <v>74</v>
      </c>
      <c r="D5" s="3" t="s">
        <v>75</v>
      </c>
      <c r="E5" s="3" t="s">
        <v>66</v>
      </c>
      <c r="F5" s="3" t="s">
        <v>76</v>
      </c>
      <c r="G5" s="3" t="s">
        <v>57</v>
      </c>
      <c r="H5" s="3" t="s">
        <v>58</v>
      </c>
      <c r="I5" s="3" t="s">
        <v>69</v>
      </c>
      <c r="J5" s="3" t="s">
        <v>70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46127</v>
      </c>
      <c r="AF5" s="3" t="s">
        <v>77</v>
      </c>
      <c r="AG5" s="3" t="s">
        <v>78</v>
      </c>
      <c r="AH5" s="5">
        <v>46126</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79</v>
      </c>
      <c r="AW5" s="22" t="s">
        <v>896</v>
      </c>
    </row>
    <row r="6" spans="1:49" ht="69.95" customHeight="1" x14ac:dyDescent="0.25">
      <c r="A6" s="3" t="s">
        <v>80</v>
      </c>
      <c r="B6" s="3" t="s">
        <v>52</v>
      </c>
      <c r="C6" s="3" t="s">
        <v>81</v>
      </c>
      <c r="D6" s="3" t="s">
        <v>82</v>
      </c>
      <c r="E6" s="3" t="s">
        <v>66</v>
      </c>
      <c r="F6" s="3" t="s">
        <v>83</v>
      </c>
      <c r="G6" s="3" t="s">
        <v>68</v>
      </c>
      <c r="H6" s="3" t="s">
        <v>84</v>
      </c>
      <c r="I6" s="3" t="s">
        <v>69</v>
      </c>
      <c r="J6" s="3" t="s">
        <v>70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46127</v>
      </c>
      <c r="AF6" s="3" t="s">
        <v>85</v>
      </c>
      <c r="AG6" s="3" t="s">
        <v>86</v>
      </c>
      <c r="AH6" s="5">
        <v>46127</v>
      </c>
      <c r="AI6" s="3"/>
      <c r="AJ6" s="3"/>
      <c r="AK6" s="3"/>
      <c r="AL6" s="3">
        <f t="shared" si="0"/>
        <v>0</v>
      </c>
      <c r="AM6" s="3">
        <f t="shared" si="1"/>
        <v>0</v>
      </c>
      <c r="AN6" s="3">
        <f t="shared" si="2"/>
        <v>100</v>
      </c>
      <c r="AO6" s="3">
        <f t="shared" si="3"/>
        <v>100</v>
      </c>
      <c r="AP6" s="3">
        <v>0</v>
      </c>
      <c r="AQ6" s="3"/>
      <c r="AR6" s="3">
        <f t="shared" si="4"/>
        <v>0</v>
      </c>
      <c r="AS6" s="4">
        <v>0</v>
      </c>
      <c r="AT6" s="3">
        <f t="shared" si="5"/>
        <v>100</v>
      </c>
      <c r="AU6" s="3">
        <f t="shared" si="6"/>
        <v>40</v>
      </c>
      <c r="AV6" s="3" t="s">
        <v>87</v>
      </c>
      <c r="AW6" s="22" t="s">
        <v>896</v>
      </c>
    </row>
    <row r="7" spans="1:49" ht="141.75" customHeight="1" x14ac:dyDescent="0.25">
      <c r="A7" s="3" t="s">
        <v>88</v>
      </c>
      <c r="B7" s="3" t="s">
        <v>89</v>
      </c>
      <c r="C7" s="3" t="s">
        <v>90</v>
      </c>
      <c r="D7" s="3" t="s">
        <v>91</v>
      </c>
      <c r="E7" s="3" t="s">
        <v>92</v>
      </c>
      <c r="F7" s="3" t="s">
        <v>93</v>
      </c>
      <c r="G7" s="3" t="s">
        <v>57</v>
      </c>
      <c r="H7" s="3" t="s">
        <v>58</v>
      </c>
      <c r="I7" s="3" t="s">
        <v>94</v>
      </c>
      <c r="J7" s="3" t="s">
        <v>95</v>
      </c>
      <c r="K7" s="4">
        <v>30476618849</v>
      </c>
      <c r="L7" s="4">
        <v>0</v>
      </c>
      <c r="M7" s="4">
        <v>422485223</v>
      </c>
      <c r="N7" s="4">
        <v>0</v>
      </c>
      <c r="O7" s="4">
        <v>30899104072</v>
      </c>
      <c r="P7" s="4">
        <v>30240028841.950001</v>
      </c>
      <c r="Q7" s="5">
        <v>45434</v>
      </c>
      <c r="R7" s="5">
        <v>42662</v>
      </c>
      <c r="S7" s="5">
        <v>42658</v>
      </c>
      <c r="T7" s="5">
        <v>42746</v>
      </c>
      <c r="U7" s="4">
        <v>100</v>
      </c>
      <c r="V7" s="4">
        <v>97.87</v>
      </c>
      <c r="W7" s="3"/>
      <c r="X7" s="3"/>
      <c r="Y7" s="5">
        <v>42657</v>
      </c>
      <c r="Z7" s="5">
        <v>42909</v>
      </c>
      <c r="AA7" s="5">
        <v>42986</v>
      </c>
      <c r="AB7" s="5">
        <v>43207</v>
      </c>
      <c r="AC7" s="5">
        <v>45527</v>
      </c>
      <c r="AD7" s="5">
        <v>45527</v>
      </c>
      <c r="AE7" s="5">
        <v>46127</v>
      </c>
      <c r="AF7" s="3" t="s">
        <v>96</v>
      </c>
      <c r="AG7" s="3" t="s">
        <v>97</v>
      </c>
      <c r="AH7" s="5">
        <v>46126</v>
      </c>
      <c r="AI7" s="3"/>
      <c r="AJ7" s="3"/>
      <c r="AK7" s="3"/>
      <c r="AL7" s="3" t="str">
        <f t="shared" si="0"/>
        <v/>
      </c>
      <c r="AM7" s="3" t="str">
        <f t="shared" si="1"/>
        <v/>
      </c>
      <c r="AN7" s="3">
        <f t="shared" si="2"/>
        <v>100</v>
      </c>
      <c r="AO7" s="3" t="str">
        <f t="shared" si="3"/>
        <v/>
      </c>
      <c r="AP7" s="3">
        <v>1</v>
      </c>
      <c r="AQ7" s="3"/>
      <c r="AR7" s="3">
        <f t="shared" si="4"/>
        <v>0</v>
      </c>
      <c r="AS7" s="4">
        <v>80</v>
      </c>
      <c r="AT7" s="3">
        <f t="shared" si="5"/>
        <v>90</v>
      </c>
      <c r="AU7" s="3" t="str">
        <f t="shared" si="6"/>
        <v/>
      </c>
      <c r="AV7" s="3" t="s">
        <v>98</v>
      </c>
      <c r="AW7" s="22" t="s">
        <v>897</v>
      </c>
    </row>
    <row r="8" spans="1:49" ht="69.95" customHeight="1" x14ac:dyDescent="0.25">
      <c r="A8" s="3" t="s">
        <v>99</v>
      </c>
      <c r="B8" s="3" t="s">
        <v>52</v>
      </c>
      <c r="C8" s="3" t="s">
        <v>100</v>
      </c>
      <c r="D8" s="3" t="s">
        <v>101</v>
      </c>
      <c r="E8" s="3" t="s">
        <v>66</v>
      </c>
      <c r="F8" s="3" t="s">
        <v>102</v>
      </c>
      <c r="G8" s="3" t="s">
        <v>57</v>
      </c>
      <c r="H8" s="3" t="s">
        <v>103</v>
      </c>
      <c r="I8" s="3" t="s">
        <v>69</v>
      </c>
      <c r="J8" s="3" t="s">
        <v>104</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46127</v>
      </c>
      <c r="AF8" s="3"/>
      <c r="AG8" s="3"/>
      <c r="AH8" s="5"/>
      <c r="AI8" s="3"/>
      <c r="AJ8" s="3"/>
      <c r="AK8" s="3"/>
      <c r="AL8" s="3" t="str">
        <f t="shared" si="0"/>
        <v/>
      </c>
      <c r="AM8" s="3" t="str">
        <f t="shared" si="1"/>
        <v/>
      </c>
      <c r="AN8" s="3">
        <f t="shared" si="2"/>
        <v>100</v>
      </c>
      <c r="AO8" s="3" t="str">
        <f t="shared" si="3"/>
        <v/>
      </c>
      <c r="AP8" s="3">
        <v>0</v>
      </c>
      <c r="AQ8" s="3"/>
      <c r="AR8" s="3" t="str">
        <f t="shared" si="4"/>
        <v/>
      </c>
      <c r="AS8" s="4"/>
      <c r="AT8" s="3">
        <f t="shared" si="5"/>
        <v>100</v>
      </c>
      <c r="AU8" s="3" t="str">
        <f t="shared" si="6"/>
        <v/>
      </c>
      <c r="AV8" s="3" t="s">
        <v>105</v>
      </c>
      <c r="AW8" s="23" t="s">
        <v>901</v>
      </c>
    </row>
    <row r="9" spans="1:49" ht="156.75" customHeight="1" x14ac:dyDescent="0.25">
      <c r="A9" s="3" t="s">
        <v>106</v>
      </c>
      <c r="B9" s="3" t="s">
        <v>89</v>
      </c>
      <c r="C9" s="11" t="s">
        <v>107</v>
      </c>
      <c r="D9" s="3" t="s">
        <v>108</v>
      </c>
      <c r="E9" s="3" t="s">
        <v>92</v>
      </c>
      <c r="F9" s="3" t="s">
        <v>109</v>
      </c>
      <c r="G9" s="3" t="s">
        <v>68</v>
      </c>
      <c r="H9" s="3" t="s">
        <v>84</v>
      </c>
      <c r="I9" s="3" t="s">
        <v>94</v>
      </c>
      <c r="J9" s="3" t="s">
        <v>60</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46127</v>
      </c>
      <c r="AF9" s="3" t="s">
        <v>110</v>
      </c>
      <c r="AG9" s="3" t="s">
        <v>111</v>
      </c>
      <c r="AH9" s="5">
        <v>46126</v>
      </c>
      <c r="AI9" s="3"/>
      <c r="AJ9" s="3"/>
      <c r="AK9" s="3"/>
      <c r="AL9" s="3">
        <f t="shared" si="0"/>
        <v>0</v>
      </c>
      <c r="AM9" s="3">
        <f t="shared" si="1"/>
        <v>0</v>
      </c>
      <c r="AN9" s="3">
        <f t="shared" si="2"/>
        <v>100</v>
      </c>
      <c r="AO9" s="3">
        <f t="shared" si="3"/>
        <v>100</v>
      </c>
      <c r="AP9" s="3">
        <v>0</v>
      </c>
      <c r="AQ9" s="3"/>
      <c r="AR9" s="3">
        <f t="shared" si="4"/>
        <v>0</v>
      </c>
      <c r="AS9" s="4">
        <v>0</v>
      </c>
      <c r="AT9" s="3">
        <f t="shared" si="5"/>
        <v>100</v>
      </c>
      <c r="AU9" s="7">
        <f t="shared" si="6"/>
        <v>40</v>
      </c>
      <c r="AV9" s="3" t="s">
        <v>112</v>
      </c>
      <c r="AW9" s="22" t="s">
        <v>896</v>
      </c>
    </row>
    <row r="10" spans="1:49" ht="69.95" customHeight="1" x14ac:dyDescent="0.25">
      <c r="A10" s="3" t="s">
        <v>113</v>
      </c>
      <c r="B10" s="3" t="s">
        <v>73</v>
      </c>
      <c r="C10" s="3" t="s">
        <v>114</v>
      </c>
      <c r="D10" s="3" t="s">
        <v>115</v>
      </c>
      <c r="E10" s="3" t="s">
        <v>66</v>
      </c>
      <c r="F10" s="3" t="s">
        <v>116</v>
      </c>
      <c r="G10" s="3" t="s">
        <v>57</v>
      </c>
      <c r="H10" s="3" t="s">
        <v>58</v>
      </c>
      <c r="I10" s="3" t="s">
        <v>117</v>
      </c>
      <c r="J10" s="3" t="s">
        <v>70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46127</v>
      </c>
      <c r="AF10" s="3" t="s">
        <v>118</v>
      </c>
      <c r="AG10" s="3" t="s">
        <v>78</v>
      </c>
      <c r="AH10" s="5">
        <v>46126</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79</v>
      </c>
      <c r="AW10" s="22" t="s">
        <v>898</v>
      </c>
    </row>
    <row r="11" spans="1:49" ht="69.95" customHeight="1" x14ac:dyDescent="0.25">
      <c r="A11" s="3" t="s">
        <v>119</v>
      </c>
      <c r="B11" s="3" t="s">
        <v>73</v>
      </c>
      <c r="C11" s="3" t="s">
        <v>120</v>
      </c>
      <c r="D11" s="3" t="s">
        <v>121</v>
      </c>
      <c r="E11" s="3" t="s">
        <v>66</v>
      </c>
      <c r="F11" s="3" t="s">
        <v>122</v>
      </c>
      <c r="G11" s="3" t="s">
        <v>57</v>
      </c>
      <c r="H11" s="3" t="s">
        <v>58</v>
      </c>
      <c r="I11" s="3" t="s">
        <v>69</v>
      </c>
      <c r="J11" s="3" t="s">
        <v>70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46127</v>
      </c>
      <c r="AF11" s="3" t="s">
        <v>123</v>
      </c>
      <c r="AG11" s="3" t="s">
        <v>78</v>
      </c>
      <c r="AH11" s="5">
        <v>46126</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79</v>
      </c>
      <c r="AW11" s="22" t="s">
        <v>896</v>
      </c>
    </row>
    <row r="12" spans="1:49" ht="69.95" customHeight="1" x14ac:dyDescent="0.25">
      <c r="A12" s="3" t="s">
        <v>124</v>
      </c>
      <c r="B12" s="3" t="s">
        <v>89</v>
      </c>
      <c r="C12" s="3" t="s">
        <v>125</v>
      </c>
      <c r="D12" s="3" t="s">
        <v>126</v>
      </c>
      <c r="E12" s="3" t="s">
        <v>92</v>
      </c>
      <c r="F12" s="3" t="s">
        <v>127</v>
      </c>
      <c r="G12" s="3" t="s">
        <v>57</v>
      </c>
      <c r="H12" s="3" t="s">
        <v>58</v>
      </c>
      <c r="I12" s="3" t="s">
        <v>94</v>
      </c>
      <c r="J12" s="3" t="s">
        <v>128</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46127</v>
      </c>
      <c r="AF12" s="3" t="s">
        <v>129</v>
      </c>
      <c r="AG12" s="3" t="s">
        <v>130</v>
      </c>
      <c r="AH12" s="5">
        <v>46126</v>
      </c>
      <c r="AI12" s="3"/>
      <c r="AJ12" s="3"/>
      <c r="AK12" s="3"/>
      <c r="AL12" s="3" t="str">
        <f t="shared" si="0"/>
        <v/>
      </c>
      <c r="AM12" s="3" t="str">
        <f t="shared" si="1"/>
        <v/>
      </c>
      <c r="AN12" s="3">
        <f t="shared" si="2"/>
        <v>100</v>
      </c>
      <c r="AO12" s="3" t="str">
        <f t="shared" si="3"/>
        <v/>
      </c>
      <c r="AP12" s="3">
        <v>0</v>
      </c>
      <c r="AQ12" s="3"/>
      <c r="AR12" s="3">
        <f t="shared" si="4"/>
        <v>0</v>
      </c>
      <c r="AS12" s="4">
        <v>50</v>
      </c>
      <c r="AT12" s="3">
        <f t="shared" si="5"/>
        <v>100</v>
      </c>
      <c r="AU12" s="3" t="str">
        <f t="shared" si="6"/>
        <v/>
      </c>
      <c r="AV12" s="3" t="s">
        <v>131</v>
      </c>
      <c r="AW12" s="22" t="s">
        <v>898</v>
      </c>
    </row>
    <row r="13" spans="1:49" ht="69.95" customHeight="1" x14ac:dyDescent="0.25">
      <c r="A13" s="3" t="s">
        <v>132</v>
      </c>
      <c r="B13" s="3" t="s">
        <v>73</v>
      </c>
      <c r="C13" s="3" t="s">
        <v>133</v>
      </c>
      <c r="D13" s="3" t="s">
        <v>134</v>
      </c>
      <c r="E13" s="3" t="s">
        <v>135</v>
      </c>
      <c r="F13" s="3" t="s">
        <v>136</v>
      </c>
      <c r="G13" s="3" t="s">
        <v>68</v>
      </c>
      <c r="H13" s="3" t="s">
        <v>190</v>
      </c>
      <c r="I13" s="3" t="s">
        <v>137</v>
      </c>
      <c r="J13" s="3" t="s">
        <v>138</v>
      </c>
      <c r="K13" s="4">
        <v>14525812035</v>
      </c>
      <c r="L13" s="4">
        <v>0</v>
      </c>
      <c r="M13" s="4">
        <v>0</v>
      </c>
      <c r="N13" s="4">
        <v>0</v>
      </c>
      <c r="O13" s="4">
        <v>14525812035</v>
      </c>
      <c r="P13" s="4">
        <v>13157700631.99</v>
      </c>
      <c r="Q13" s="5">
        <v>45603</v>
      </c>
      <c r="R13" s="5">
        <v>45076</v>
      </c>
      <c r="S13" s="5">
        <v>45066</v>
      </c>
      <c r="T13" s="5">
        <v>45084</v>
      </c>
      <c r="U13" s="4">
        <v>98.11</v>
      </c>
      <c r="V13" s="4">
        <v>90.58</v>
      </c>
      <c r="W13" s="3">
        <v>0</v>
      </c>
      <c r="X13" s="3">
        <v>0</v>
      </c>
      <c r="Y13" s="5">
        <v>45064</v>
      </c>
      <c r="Z13" s="5">
        <v>45260</v>
      </c>
      <c r="AA13" s="5">
        <v>45289</v>
      </c>
      <c r="AB13" s="5">
        <v>45301</v>
      </c>
      <c r="AC13" s="5">
        <v>45987</v>
      </c>
      <c r="AD13" s="5"/>
      <c r="AE13" s="5">
        <v>46127</v>
      </c>
      <c r="AF13" s="3" t="s">
        <v>139</v>
      </c>
      <c r="AG13" s="3" t="s">
        <v>140</v>
      </c>
      <c r="AH13" s="5">
        <v>46126</v>
      </c>
      <c r="AI13" s="3"/>
      <c r="AJ13" s="3"/>
      <c r="AK13" s="3"/>
      <c r="AL13" s="3">
        <f t="shared" si="0"/>
        <v>0</v>
      </c>
      <c r="AM13" s="3">
        <f t="shared" si="1"/>
        <v>0</v>
      </c>
      <c r="AN13" s="3">
        <f t="shared" si="2"/>
        <v>100</v>
      </c>
      <c r="AO13" s="3">
        <f t="shared" si="3"/>
        <v>100</v>
      </c>
      <c r="AP13" s="3">
        <v>1</v>
      </c>
      <c r="AQ13" s="3"/>
      <c r="AR13" s="3">
        <f t="shared" si="4"/>
        <v>0</v>
      </c>
      <c r="AS13" s="4">
        <v>100</v>
      </c>
      <c r="AT13" s="3">
        <f t="shared" si="5"/>
        <v>90</v>
      </c>
      <c r="AU13" s="3">
        <f t="shared" si="6"/>
        <v>36</v>
      </c>
      <c r="AV13" s="3" t="s">
        <v>141</v>
      </c>
      <c r="AW13" s="22" t="s">
        <v>899</v>
      </c>
    </row>
    <row r="14" spans="1:49" ht="69.95" customHeight="1" x14ac:dyDescent="0.25">
      <c r="A14" s="3" t="s">
        <v>142</v>
      </c>
      <c r="B14" s="3" t="s">
        <v>89</v>
      </c>
      <c r="C14" s="3" t="s">
        <v>143</v>
      </c>
      <c r="D14" s="3" t="s">
        <v>144</v>
      </c>
      <c r="E14" s="3" t="s">
        <v>92</v>
      </c>
      <c r="F14" s="3" t="s">
        <v>145</v>
      </c>
      <c r="G14" s="3" t="s">
        <v>57</v>
      </c>
      <c r="H14" s="3" t="s">
        <v>58</v>
      </c>
      <c r="I14" s="3" t="s">
        <v>59</v>
      </c>
      <c r="J14" s="3" t="s">
        <v>95</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46127</v>
      </c>
      <c r="AF14" s="3" t="s">
        <v>146</v>
      </c>
      <c r="AG14" s="3" t="s">
        <v>147</v>
      </c>
      <c r="AH14" s="5">
        <v>46126</v>
      </c>
      <c r="AI14" s="3"/>
      <c r="AJ14" s="3"/>
      <c r="AK14" s="3"/>
      <c r="AL14" s="3" t="str">
        <f t="shared" si="0"/>
        <v/>
      </c>
      <c r="AM14" s="3" t="str">
        <f t="shared" si="1"/>
        <v/>
      </c>
      <c r="AN14" s="3">
        <f t="shared" si="2"/>
        <v>100</v>
      </c>
      <c r="AO14" s="3" t="str">
        <f t="shared" si="3"/>
        <v/>
      </c>
      <c r="AP14" s="3">
        <v>1</v>
      </c>
      <c r="AQ14" s="3"/>
      <c r="AR14" s="3">
        <f t="shared" si="4"/>
        <v>0</v>
      </c>
      <c r="AS14" s="4">
        <v>10</v>
      </c>
      <c r="AT14" s="3">
        <f t="shared" si="5"/>
        <v>90</v>
      </c>
      <c r="AU14" s="3" t="str">
        <f t="shared" si="6"/>
        <v/>
      </c>
      <c r="AV14" s="3" t="s">
        <v>148</v>
      </c>
      <c r="AW14" s="22" t="s">
        <v>897</v>
      </c>
    </row>
    <row r="15" spans="1:49" ht="69.95" customHeight="1" x14ac:dyDescent="0.25">
      <c r="A15" s="3" t="s">
        <v>149</v>
      </c>
      <c r="B15" s="3" t="s">
        <v>73</v>
      </c>
      <c r="C15" s="3" t="s">
        <v>150</v>
      </c>
      <c r="D15" s="3" t="s">
        <v>151</v>
      </c>
      <c r="E15" s="3" t="s">
        <v>66</v>
      </c>
      <c r="F15" s="3" t="s">
        <v>152</v>
      </c>
      <c r="G15" s="3" t="s">
        <v>68</v>
      </c>
      <c r="H15" s="3" t="s">
        <v>84</v>
      </c>
      <c r="I15" s="3" t="s">
        <v>69</v>
      </c>
      <c r="J15" s="3" t="s">
        <v>104</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46127</v>
      </c>
      <c r="AF15" s="3" t="s">
        <v>153</v>
      </c>
      <c r="AG15" s="3" t="s">
        <v>78</v>
      </c>
      <c r="AH15" s="5">
        <v>46126</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154</v>
      </c>
      <c r="AW15" s="22" t="s">
        <v>896</v>
      </c>
    </row>
    <row r="16" spans="1:49" ht="69.95" customHeight="1" x14ac:dyDescent="0.25">
      <c r="A16" s="3" t="s">
        <v>155</v>
      </c>
      <c r="B16" s="3" t="s">
        <v>73</v>
      </c>
      <c r="C16" s="3" t="s">
        <v>156</v>
      </c>
      <c r="D16" s="3" t="s">
        <v>157</v>
      </c>
      <c r="E16" s="3" t="s">
        <v>135</v>
      </c>
      <c r="F16" s="3" t="s">
        <v>158</v>
      </c>
      <c r="G16" s="3" t="s">
        <v>57</v>
      </c>
      <c r="H16" s="3" t="s">
        <v>58</v>
      </c>
      <c r="I16" s="3" t="s">
        <v>159</v>
      </c>
      <c r="J16" s="3" t="s">
        <v>95</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46127</v>
      </c>
      <c r="AF16" s="3" t="s">
        <v>160</v>
      </c>
      <c r="AG16" s="3" t="s">
        <v>78</v>
      </c>
      <c r="AH16" s="5">
        <v>46126</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79</v>
      </c>
      <c r="AW16" s="22" t="s">
        <v>898</v>
      </c>
    </row>
    <row r="17" spans="1:49" ht="69.95" customHeight="1" x14ac:dyDescent="0.25">
      <c r="A17" s="3" t="s">
        <v>161</v>
      </c>
      <c r="B17" s="3" t="s">
        <v>89</v>
      </c>
      <c r="C17" s="3" t="s">
        <v>162</v>
      </c>
      <c r="D17" s="3" t="s">
        <v>163</v>
      </c>
      <c r="E17" s="3" t="s">
        <v>92</v>
      </c>
      <c r="F17" s="3" t="s">
        <v>164</v>
      </c>
      <c r="G17" s="3" t="s">
        <v>68</v>
      </c>
      <c r="H17" s="3" t="s">
        <v>84</v>
      </c>
      <c r="I17" s="3" t="s">
        <v>94</v>
      </c>
      <c r="J17" s="3" t="s">
        <v>165</v>
      </c>
      <c r="K17" s="4">
        <v>16839824924.799999</v>
      </c>
      <c r="L17" s="4">
        <v>0</v>
      </c>
      <c r="M17" s="4">
        <v>0</v>
      </c>
      <c r="N17" s="4">
        <v>0</v>
      </c>
      <c r="O17" s="4">
        <v>16839824924.799999</v>
      </c>
      <c r="P17" s="4">
        <v>15153097577.860001</v>
      </c>
      <c r="Q17" s="5">
        <v>46020</v>
      </c>
      <c r="R17" s="5">
        <v>45084</v>
      </c>
      <c r="S17" s="5">
        <v>45066</v>
      </c>
      <c r="T17" s="5">
        <v>45100</v>
      </c>
      <c r="U17" s="4">
        <v>97.16</v>
      </c>
      <c r="V17" s="4">
        <v>89.98</v>
      </c>
      <c r="W17" s="3">
        <v>1</v>
      </c>
      <c r="X17" s="3">
        <v>0.97</v>
      </c>
      <c r="Y17" s="5">
        <v>45064</v>
      </c>
      <c r="Z17" s="5">
        <v>45212</v>
      </c>
      <c r="AA17" s="5">
        <v>45450</v>
      </c>
      <c r="AB17" s="5">
        <v>45469</v>
      </c>
      <c r="AC17" s="5">
        <v>46111</v>
      </c>
      <c r="AD17" s="5"/>
      <c r="AE17" s="5">
        <v>46127</v>
      </c>
      <c r="AF17" s="3" t="s">
        <v>166</v>
      </c>
      <c r="AG17" s="3" t="s">
        <v>167</v>
      </c>
      <c r="AH17" s="5">
        <v>46126</v>
      </c>
      <c r="AI17" s="3"/>
      <c r="AJ17" s="3"/>
      <c r="AK17" s="3"/>
      <c r="AL17" s="3">
        <f t="shared" si="0"/>
        <v>100</v>
      </c>
      <c r="AM17" s="3">
        <f t="shared" si="1"/>
        <v>100</v>
      </c>
      <c r="AN17" s="3">
        <f t="shared" si="2"/>
        <v>100</v>
      </c>
      <c r="AO17" s="3">
        <f t="shared" si="3"/>
        <v>100</v>
      </c>
      <c r="AP17" s="3">
        <v>2</v>
      </c>
      <c r="AQ17" s="3"/>
      <c r="AR17" s="3">
        <f t="shared" si="4"/>
        <v>0</v>
      </c>
      <c r="AS17" s="4">
        <v>100</v>
      </c>
      <c r="AT17" s="3">
        <f t="shared" si="5"/>
        <v>75</v>
      </c>
      <c r="AU17" s="7">
        <f t="shared" si="6"/>
        <v>75</v>
      </c>
      <c r="AV17" s="3" t="s">
        <v>168</v>
      </c>
      <c r="AW17" s="22" t="s">
        <v>898</v>
      </c>
    </row>
    <row r="18" spans="1:49" ht="69.95" customHeight="1" x14ac:dyDescent="0.25">
      <c r="A18" s="3" t="s">
        <v>169</v>
      </c>
      <c r="B18" s="3" t="s">
        <v>73</v>
      </c>
      <c r="C18" s="11" t="s">
        <v>170</v>
      </c>
      <c r="D18" s="3" t="s">
        <v>171</v>
      </c>
      <c r="E18" s="3" t="s">
        <v>66</v>
      </c>
      <c r="F18" s="3" t="s">
        <v>172</v>
      </c>
      <c r="G18" s="3" t="s">
        <v>68</v>
      </c>
      <c r="H18" s="3" t="s">
        <v>84</v>
      </c>
      <c r="I18" s="3" t="s">
        <v>69</v>
      </c>
      <c r="J18" s="3" t="s">
        <v>173</v>
      </c>
      <c r="K18" s="4">
        <v>3342400000</v>
      </c>
      <c r="L18" s="4">
        <v>0</v>
      </c>
      <c r="M18" s="4">
        <v>30000000</v>
      </c>
      <c r="N18" s="4">
        <v>0</v>
      </c>
      <c r="O18" s="4">
        <v>3372400000</v>
      </c>
      <c r="P18" s="4">
        <v>2920656161.9299998</v>
      </c>
      <c r="Q18" s="5">
        <v>45777</v>
      </c>
      <c r="R18" s="5">
        <v>44569</v>
      </c>
      <c r="S18" s="5">
        <v>44556</v>
      </c>
      <c r="T18" s="5">
        <v>44629</v>
      </c>
      <c r="U18" s="4">
        <v>100</v>
      </c>
      <c r="V18" s="4">
        <v>87.49</v>
      </c>
      <c r="W18" s="3">
        <v>0</v>
      </c>
      <c r="X18" s="3">
        <v>0</v>
      </c>
      <c r="Y18" s="5">
        <v>44552</v>
      </c>
      <c r="Z18" s="5">
        <v>44825</v>
      </c>
      <c r="AA18" s="5">
        <v>44833</v>
      </c>
      <c r="AB18" s="5">
        <v>44925</v>
      </c>
      <c r="AC18" s="5">
        <v>45549</v>
      </c>
      <c r="AD18" s="5"/>
      <c r="AE18" s="5">
        <v>46127</v>
      </c>
      <c r="AF18" s="3" t="s">
        <v>174</v>
      </c>
      <c r="AG18" s="3" t="s">
        <v>78</v>
      </c>
      <c r="AH18" s="5">
        <v>46126</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36</v>
      </c>
      <c r="AV18" s="3" t="s">
        <v>175</v>
      </c>
      <c r="AW18" s="22" t="s">
        <v>896</v>
      </c>
    </row>
    <row r="19" spans="1:49" ht="69.95" customHeight="1" x14ac:dyDescent="0.25">
      <c r="A19" s="3" t="s">
        <v>176</v>
      </c>
      <c r="B19" s="3" t="s">
        <v>73</v>
      </c>
      <c r="C19" s="11" t="s">
        <v>177</v>
      </c>
      <c r="D19" s="3" t="s">
        <v>178</v>
      </c>
      <c r="E19" s="3" t="s">
        <v>66</v>
      </c>
      <c r="F19" s="3" t="s">
        <v>172</v>
      </c>
      <c r="G19" s="3" t="s">
        <v>68</v>
      </c>
      <c r="H19" s="3" t="s">
        <v>84</v>
      </c>
      <c r="I19" s="3" t="s">
        <v>69</v>
      </c>
      <c r="J19" s="3" t="s">
        <v>173</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46127</v>
      </c>
      <c r="AF19" s="3" t="s">
        <v>179</v>
      </c>
      <c r="AG19" s="3" t="s">
        <v>78</v>
      </c>
      <c r="AH19" s="5">
        <v>46126</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36</v>
      </c>
      <c r="AV19" s="3" t="s">
        <v>180</v>
      </c>
      <c r="AW19" s="22" t="s">
        <v>896</v>
      </c>
    </row>
    <row r="20" spans="1:49" ht="69.95" customHeight="1" x14ac:dyDescent="0.25">
      <c r="A20" s="3" t="s">
        <v>181</v>
      </c>
      <c r="B20" s="3" t="s">
        <v>73</v>
      </c>
      <c r="C20" s="3" t="s">
        <v>182</v>
      </c>
      <c r="D20" s="3" t="s">
        <v>183</v>
      </c>
      <c r="E20" s="3" t="s">
        <v>66</v>
      </c>
      <c r="F20" s="3" t="s">
        <v>184</v>
      </c>
      <c r="G20" s="3" t="s">
        <v>57</v>
      </c>
      <c r="H20" s="3" t="s">
        <v>58</v>
      </c>
      <c r="I20" s="3" t="s">
        <v>69</v>
      </c>
      <c r="J20" s="3" t="s">
        <v>173</v>
      </c>
      <c r="K20" s="4">
        <v>1000000000</v>
      </c>
      <c r="L20" s="4">
        <v>0</v>
      </c>
      <c r="M20" s="4">
        <v>30200000</v>
      </c>
      <c r="N20" s="4">
        <v>0</v>
      </c>
      <c r="O20" s="4">
        <v>1030200000</v>
      </c>
      <c r="P20" s="4">
        <v>1000000000</v>
      </c>
      <c r="Q20" s="5">
        <v>45797</v>
      </c>
      <c r="R20" s="5">
        <v>44569</v>
      </c>
      <c r="S20" s="5">
        <v>44556</v>
      </c>
      <c r="T20" s="5">
        <v>44657</v>
      </c>
      <c r="U20" s="4">
        <v>100</v>
      </c>
      <c r="V20" s="4">
        <v>100</v>
      </c>
      <c r="W20" s="3"/>
      <c r="X20" s="3"/>
      <c r="Y20" s="5">
        <v>44552</v>
      </c>
      <c r="Z20" s="5">
        <v>44819</v>
      </c>
      <c r="AA20" s="5">
        <v>44833</v>
      </c>
      <c r="AB20" s="5">
        <v>44925</v>
      </c>
      <c r="AC20" s="5">
        <v>45549</v>
      </c>
      <c r="AD20" s="5">
        <v>45549</v>
      </c>
      <c r="AE20" s="5">
        <v>46127</v>
      </c>
      <c r="AF20" s="3" t="s">
        <v>185</v>
      </c>
      <c r="AG20" s="3" t="s">
        <v>78</v>
      </c>
      <c r="AH20" s="5">
        <v>46126</v>
      </c>
      <c r="AI20" s="3"/>
      <c r="AJ20" s="3"/>
      <c r="AK20" s="3"/>
      <c r="AL20" s="3" t="str">
        <f t="shared" si="0"/>
        <v/>
      </c>
      <c r="AM20" s="3" t="str">
        <f t="shared" si="1"/>
        <v/>
      </c>
      <c r="AN20" s="3">
        <f t="shared" si="2"/>
        <v>100</v>
      </c>
      <c r="AO20" s="3" t="str">
        <f t="shared" si="3"/>
        <v/>
      </c>
      <c r="AP20" s="3">
        <v>1</v>
      </c>
      <c r="AQ20" s="3"/>
      <c r="AR20" s="3">
        <f t="shared" si="4"/>
        <v>0</v>
      </c>
      <c r="AS20" s="4">
        <v>0</v>
      </c>
      <c r="AT20" s="3">
        <f t="shared" si="5"/>
        <v>90</v>
      </c>
      <c r="AU20" s="3" t="str">
        <f t="shared" si="6"/>
        <v/>
      </c>
      <c r="AV20" s="3" t="s">
        <v>79</v>
      </c>
      <c r="AW20" s="22" t="s">
        <v>896</v>
      </c>
    </row>
    <row r="21" spans="1:49" ht="69.95" customHeight="1" x14ac:dyDescent="0.25">
      <c r="A21" s="3" t="s">
        <v>186</v>
      </c>
      <c r="B21" s="3" t="s">
        <v>73</v>
      </c>
      <c r="C21" s="11" t="s">
        <v>187</v>
      </c>
      <c r="D21" s="3" t="s">
        <v>188</v>
      </c>
      <c r="E21" s="3" t="s">
        <v>66</v>
      </c>
      <c r="F21" s="3" t="s">
        <v>189</v>
      </c>
      <c r="G21" s="3" t="s">
        <v>68</v>
      </c>
      <c r="H21" s="3" t="s">
        <v>190</v>
      </c>
      <c r="I21" s="3" t="s">
        <v>69</v>
      </c>
      <c r="J21" s="3" t="s">
        <v>191</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46127</v>
      </c>
      <c r="AF21" s="3" t="s">
        <v>192</v>
      </c>
      <c r="AG21" s="3" t="s">
        <v>193</v>
      </c>
      <c r="AH21" s="5">
        <v>46126</v>
      </c>
      <c r="AI21" s="3"/>
      <c r="AJ21" s="3"/>
      <c r="AK21" s="3"/>
      <c r="AL21" s="3">
        <f t="shared" si="0"/>
        <v>0</v>
      </c>
      <c r="AM21" s="3">
        <f t="shared" si="1"/>
        <v>0</v>
      </c>
      <c r="AN21" s="3">
        <f t="shared" si="2"/>
        <v>100</v>
      </c>
      <c r="AO21" s="3">
        <f t="shared" si="3"/>
        <v>100</v>
      </c>
      <c r="AP21" s="3">
        <v>1</v>
      </c>
      <c r="AQ21" s="3"/>
      <c r="AR21" s="3">
        <f t="shared" si="4"/>
        <v>0</v>
      </c>
      <c r="AS21" s="4">
        <v>50</v>
      </c>
      <c r="AT21" s="3">
        <f t="shared" si="5"/>
        <v>90</v>
      </c>
      <c r="AU21" s="3">
        <f t="shared" si="6"/>
        <v>36</v>
      </c>
      <c r="AV21" s="3" t="s">
        <v>194</v>
      </c>
      <c r="AW21" s="22" t="s">
        <v>900</v>
      </c>
    </row>
    <row r="22" spans="1:49" ht="69.95" customHeight="1" x14ac:dyDescent="0.25">
      <c r="A22" s="3" t="s">
        <v>195</v>
      </c>
      <c r="B22" s="3" t="s">
        <v>89</v>
      </c>
      <c r="C22" s="3" t="s">
        <v>196</v>
      </c>
      <c r="D22" s="3" t="s">
        <v>197</v>
      </c>
      <c r="E22" s="3" t="s">
        <v>198</v>
      </c>
      <c r="F22" s="3" t="s">
        <v>199</v>
      </c>
      <c r="G22" s="3" t="s">
        <v>68</v>
      </c>
      <c r="H22" s="3" t="s">
        <v>84</v>
      </c>
      <c r="I22" s="3" t="s">
        <v>94</v>
      </c>
      <c r="J22" s="3" t="s">
        <v>165</v>
      </c>
      <c r="K22" s="4">
        <v>24245749081.080002</v>
      </c>
      <c r="L22" s="4">
        <v>0</v>
      </c>
      <c r="M22" s="4">
        <v>0</v>
      </c>
      <c r="N22" s="4">
        <v>0</v>
      </c>
      <c r="O22" s="4">
        <v>24245749081.080002</v>
      </c>
      <c r="P22" s="4">
        <v>17972770186.490002</v>
      </c>
      <c r="Q22" s="5">
        <v>46057</v>
      </c>
      <c r="R22" s="5">
        <v>45084</v>
      </c>
      <c r="S22" s="5">
        <v>45066</v>
      </c>
      <c r="T22" s="5">
        <v>45105</v>
      </c>
      <c r="U22" s="4">
        <v>66.650000000000006</v>
      </c>
      <c r="V22" s="4">
        <v>74.13</v>
      </c>
      <c r="W22" s="3">
        <v>1</v>
      </c>
      <c r="X22" s="3">
        <v>0.95</v>
      </c>
      <c r="Y22" s="5">
        <v>45064</v>
      </c>
      <c r="Z22" s="5">
        <v>45546</v>
      </c>
      <c r="AA22" s="5">
        <v>45649</v>
      </c>
      <c r="AB22" s="5">
        <v>45714</v>
      </c>
      <c r="AC22" s="5">
        <v>46106</v>
      </c>
      <c r="AD22" s="5"/>
      <c r="AE22" s="5">
        <v>46127</v>
      </c>
      <c r="AF22" s="3" t="s">
        <v>200</v>
      </c>
      <c r="AG22" s="3" t="s">
        <v>201</v>
      </c>
      <c r="AH22" s="5">
        <v>46122</v>
      </c>
      <c r="AI22" s="3"/>
      <c r="AJ22" s="3"/>
      <c r="AK22" s="3"/>
      <c r="AL22" s="3">
        <f t="shared" si="0"/>
        <v>100</v>
      </c>
      <c r="AM22" s="3">
        <f t="shared" si="1"/>
        <v>100</v>
      </c>
      <c r="AN22" s="3">
        <f t="shared" si="2"/>
        <v>100</v>
      </c>
      <c r="AO22" s="3">
        <f t="shared" si="3"/>
        <v>100</v>
      </c>
      <c r="AP22" s="3">
        <v>1</v>
      </c>
      <c r="AQ22" s="3"/>
      <c r="AR22" s="3">
        <f t="shared" si="4"/>
        <v>100</v>
      </c>
      <c r="AS22" s="4">
        <v>100</v>
      </c>
      <c r="AT22" s="3">
        <f t="shared" si="5"/>
        <v>90</v>
      </c>
      <c r="AU22" s="7">
        <f t="shared" si="6"/>
        <v>90</v>
      </c>
      <c r="AV22" s="3" t="s">
        <v>202</v>
      </c>
      <c r="AW22" s="22" t="s">
        <v>901</v>
      </c>
    </row>
    <row r="23" spans="1:49" ht="69.95" customHeight="1" x14ac:dyDescent="0.25">
      <c r="A23" s="3" t="s">
        <v>203</v>
      </c>
      <c r="B23" s="3" t="s">
        <v>89</v>
      </c>
      <c r="C23" s="3" t="s">
        <v>204</v>
      </c>
      <c r="D23" s="3" t="s">
        <v>205</v>
      </c>
      <c r="E23" s="3" t="s">
        <v>92</v>
      </c>
      <c r="F23" s="3" t="s">
        <v>206</v>
      </c>
      <c r="G23" s="3" t="s">
        <v>207</v>
      </c>
      <c r="H23" s="3" t="s">
        <v>103</v>
      </c>
      <c r="I23" s="3" t="s">
        <v>94</v>
      </c>
      <c r="J23" s="3" t="s">
        <v>95</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46127</v>
      </c>
      <c r="AF23" s="3"/>
      <c r="AG23" s="3"/>
      <c r="AH23" s="5"/>
      <c r="AI23" s="3"/>
      <c r="AJ23" s="3"/>
      <c r="AK23" s="3"/>
      <c r="AL23" s="3" t="str">
        <f t="shared" si="0"/>
        <v/>
      </c>
      <c r="AM23" s="3" t="str">
        <f t="shared" si="1"/>
        <v/>
      </c>
      <c r="AN23" s="3">
        <f t="shared" si="2"/>
        <v>100</v>
      </c>
      <c r="AO23" s="3" t="str">
        <f t="shared" si="3"/>
        <v/>
      </c>
      <c r="AP23" s="3">
        <v>1</v>
      </c>
      <c r="AQ23" s="3"/>
      <c r="AR23" s="3" t="str">
        <f t="shared" si="4"/>
        <v/>
      </c>
      <c r="AS23" s="4"/>
      <c r="AT23" s="3">
        <f t="shared" si="5"/>
        <v>90</v>
      </c>
      <c r="AU23" s="3" t="str">
        <f t="shared" si="6"/>
        <v/>
      </c>
      <c r="AV23" s="3" t="s">
        <v>208</v>
      </c>
      <c r="AW23" s="22" t="s">
        <v>897</v>
      </c>
    </row>
    <row r="24" spans="1:49" ht="69.95" customHeight="1" x14ac:dyDescent="0.25">
      <c r="A24" s="3" t="s">
        <v>209</v>
      </c>
      <c r="B24" s="3" t="s">
        <v>89</v>
      </c>
      <c r="C24" s="3" t="s">
        <v>210</v>
      </c>
      <c r="D24" s="3" t="s">
        <v>211</v>
      </c>
      <c r="E24" s="3" t="s">
        <v>212</v>
      </c>
      <c r="F24" s="3" t="s">
        <v>213</v>
      </c>
      <c r="G24" s="3" t="s">
        <v>57</v>
      </c>
      <c r="H24" s="3" t="s">
        <v>103</v>
      </c>
      <c r="I24" s="3" t="s">
        <v>214</v>
      </c>
      <c r="J24" s="3" t="s">
        <v>215</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46127</v>
      </c>
      <c r="AF24" s="3"/>
      <c r="AG24" s="3"/>
      <c r="AH24" s="5"/>
      <c r="AI24" s="3"/>
      <c r="AJ24" s="3"/>
      <c r="AK24" s="3"/>
      <c r="AL24" s="3" t="str">
        <f t="shared" si="0"/>
        <v/>
      </c>
      <c r="AM24" s="3" t="str">
        <f t="shared" si="1"/>
        <v/>
      </c>
      <c r="AN24" s="3">
        <f t="shared" si="2"/>
        <v>100</v>
      </c>
      <c r="AO24" s="3" t="str">
        <f t="shared" si="3"/>
        <v/>
      </c>
      <c r="AP24" s="3">
        <v>0</v>
      </c>
      <c r="AQ24" s="3"/>
      <c r="AR24" s="3" t="str">
        <f t="shared" si="4"/>
        <v/>
      </c>
      <c r="AS24" s="4"/>
      <c r="AT24" s="3">
        <f t="shared" si="5"/>
        <v>100</v>
      </c>
      <c r="AU24" s="3" t="str">
        <f t="shared" si="6"/>
        <v/>
      </c>
      <c r="AV24" s="3" t="s">
        <v>216</v>
      </c>
      <c r="AW24" s="22" t="s">
        <v>896</v>
      </c>
    </row>
    <row r="25" spans="1:49" ht="69.95" customHeight="1" x14ac:dyDescent="0.25">
      <c r="A25" s="3" t="s">
        <v>217</v>
      </c>
      <c r="B25" s="3" t="s">
        <v>73</v>
      </c>
      <c r="C25" s="3" t="s">
        <v>218</v>
      </c>
      <c r="D25" s="3" t="s">
        <v>219</v>
      </c>
      <c r="E25" s="3" t="s">
        <v>220</v>
      </c>
      <c r="F25" s="3" t="s">
        <v>221</v>
      </c>
      <c r="G25" s="3" t="s">
        <v>207</v>
      </c>
      <c r="H25" s="3" t="s">
        <v>103</v>
      </c>
      <c r="I25" s="3" t="s">
        <v>159</v>
      </c>
      <c r="J25" s="3" t="s">
        <v>95</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46127</v>
      </c>
      <c r="AF25" s="3"/>
      <c r="AG25" s="3"/>
      <c r="AH25" s="5">
        <v>46126</v>
      </c>
      <c r="AI25" s="3"/>
      <c r="AJ25" s="3"/>
      <c r="AK25" s="3"/>
      <c r="AL25" s="3" t="str">
        <f t="shared" si="0"/>
        <v/>
      </c>
      <c r="AM25" s="3" t="str">
        <f t="shared" si="1"/>
        <v/>
      </c>
      <c r="AN25" s="3">
        <f t="shared" si="2"/>
        <v>100</v>
      </c>
      <c r="AO25" s="3" t="str">
        <f t="shared" si="3"/>
        <v/>
      </c>
      <c r="AP25" s="3">
        <v>0</v>
      </c>
      <c r="AQ25" s="3"/>
      <c r="AR25" s="3">
        <f t="shared" si="4"/>
        <v>0</v>
      </c>
      <c r="AS25" s="4"/>
      <c r="AT25" s="3">
        <f t="shared" si="5"/>
        <v>100</v>
      </c>
      <c r="AU25" s="3" t="str">
        <f t="shared" si="6"/>
        <v/>
      </c>
      <c r="AV25" s="3" t="s">
        <v>208</v>
      </c>
      <c r="AW25" s="22" t="s">
        <v>896</v>
      </c>
    </row>
    <row r="26" spans="1:49" ht="69.95" customHeight="1" x14ac:dyDescent="0.25">
      <c r="A26" s="3" t="s">
        <v>222</v>
      </c>
      <c r="B26" s="3" t="s">
        <v>89</v>
      </c>
      <c r="C26" s="3" t="s">
        <v>223</v>
      </c>
      <c r="D26" s="3" t="s">
        <v>224</v>
      </c>
      <c r="E26" s="3" t="s">
        <v>220</v>
      </c>
      <c r="F26" s="3" t="s">
        <v>225</v>
      </c>
      <c r="G26" s="3" t="s">
        <v>68</v>
      </c>
      <c r="H26" s="3" t="s">
        <v>190</v>
      </c>
      <c r="I26" s="3" t="s">
        <v>94</v>
      </c>
      <c r="J26" s="3" t="s">
        <v>95</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46014</v>
      </c>
      <c r="AD26" s="5"/>
      <c r="AE26" s="5">
        <v>46127</v>
      </c>
      <c r="AF26" s="3" t="s">
        <v>226</v>
      </c>
      <c r="AG26" s="3" t="s">
        <v>227</v>
      </c>
      <c r="AH26" s="5">
        <v>46122</v>
      </c>
      <c r="AI26" s="3"/>
      <c r="AJ26" s="3"/>
      <c r="AK26" s="3"/>
      <c r="AL26" s="3">
        <f t="shared" si="0"/>
        <v>0</v>
      </c>
      <c r="AM26" s="3">
        <f t="shared" si="1"/>
        <v>0</v>
      </c>
      <c r="AN26" s="3">
        <f t="shared" si="2"/>
        <v>100</v>
      </c>
      <c r="AO26" s="3">
        <f t="shared" si="3"/>
        <v>100</v>
      </c>
      <c r="AP26" s="3">
        <v>2</v>
      </c>
      <c r="AQ26" s="3"/>
      <c r="AR26" s="3">
        <f t="shared" si="4"/>
        <v>100</v>
      </c>
      <c r="AS26" s="4">
        <v>100</v>
      </c>
      <c r="AT26" s="3">
        <f t="shared" si="5"/>
        <v>75</v>
      </c>
      <c r="AU26" s="7">
        <f t="shared" si="6"/>
        <v>30</v>
      </c>
      <c r="AV26" s="3" t="s">
        <v>228</v>
      </c>
      <c r="AW26" s="22" t="s">
        <v>898</v>
      </c>
    </row>
    <row r="27" spans="1:49" ht="69.95" customHeight="1" x14ac:dyDescent="0.25">
      <c r="A27" s="3" t="s">
        <v>229</v>
      </c>
      <c r="B27" s="3" t="s">
        <v>73</v>
      </c>
      <c r="C27" s="3" t="s">
        <v>230</v>
      </c>
      <c r="D27" s="3" t="s">
        <v>231</v>
      </c>
      <c r="E27" s="3" t="s">
        <v>232</v>
      </c>
      <c r="F27" s="3" t="s">
        <v>233</v>
      </c>
      <c r="G27" s="3" t="s">
        <v>57</v>
      </c>
      <c r="H27" s="3" t="s">
        <v>58</v>
      </c>
      <c r="I27" s="3" t="s">
        <v>137</v>
      </c>
      <c r="J27" s="3" t="s">
        <v>165</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46127</v>
      </c>
      <c r="AF27" s="3" t="s">
        <v>234</v>
      </c>
      <c r="AG27" s="3" t="s">
        <v>78</v>
      </c>
      <c r="AH27" s="5">
        <v>46126</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79</v>
      </c>
      <c r="AW27" s="22" t="s">
        <v>901</v>
      </c>
    </row>
    <row r="28" spans="1:49" ht="69.95" customHeight="1" x14ac:dyDescent="0.25">
      <c r="A28" s="3" t="s">
        <v>235</v>
      </c>
      <c r="B28" s="3" t="s">
        <v>89</v>
      </c>
      <c r="C28" s="27" t="s">
        <v>236</v>
      </c>
      <c r="D28" s="3" t="s">
        <v>237</v>
      </c>
      <c r="E28" s="3" t="s">
        <v>92</v>
      </c>
      <c r="F28" s="3" t="s">
        <v>238</v>
      </c>
      <c r="G28" s="3" t="s">
        <v>207</v>
      </c>
      <c r="H28" s="3" t="s">
        <v>103</v>
      </c>
      <c r="I28" s="3" t="s">
        <v>94</v>
      </c>
      <c r="J28" s="3" t="s">
        <v>95</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46127</v>
      </c>
      <c r="AF28" s="3"/>
      <c r="AG28" s="3"/>
      <c r="AH28" s="5"/>
      <c r="AI28" s="3"/>
      <c r="AJ28" s="3"/>
      <c r="AK28" s="3"/>
      <c r="AL28" s="3" t="str">
        <f t="shared" si="0"/>
        <v/>
      </c>
      <c r="AM28" s="3" t="str">
        <f t="shared" si="1"/>
        <v/>
      </c>
      <c r="AN28" s="3">
        <f t="shared" si="2"/>
        <v>100</v>
      </c>
      <c r="AO28" s="3" t="str">
        <f t="shared" si="3"/>
        <v/>
      </c>
      <c r="AP28" s="3">
        <v>1</v>
      </c>
      <c r="AQ28" s="3"/>
      <c r="AR28" s="3" t="str">
        <f t="shared" si="4"/>
        <v/>
      </c>
      <c r="AS28" s="4"/>
      <c r="AT28" s="3">
        <f t="shared" si="5"/>
        <v>90</v>
      </c>
      <c r="AU28" s="3" t="str">
        <f t="shared" si="6"/>
        <v/>
      </c>
      <c r="AV28" s="3" t="s">
        <v>208</v>
      </c>
      <c r="AW28" s="22" t="s">
        <v>897</v>
      </c>
    </row>
    <row r="29" spans="1:49" ht="69.95" customHeight="1" x14ac:dyDescent="0.25">
      <c r="A29" s="3" t="s">
        <v>239</v>
      </c>
      <c r="B29" s="3" t="s">
        <v>89</v>
      </c>
      <c r="C29" s="3" t="s">
        <v>240</v>
      </c>
      <c r="D29" s="3" t="s">
        <v>241</v>
      </c>
      <c r="E29" s="3" t="s">
        <v>220</v>
      </c>
      <c r="F29" s="3" t="s">
        <v>242</v>
      </c>
      <c r="G29" s="3" t="s">
        <v>57</v>
      </c>
      <c r="H29" s="3" t="s">
        <v>58</v>
      </c>
      <c r="I29" s="3" t="s">
        <v>69</v>
      </c>
      <c r="J29" s="3" t="s">
        <v>95</v>
      </c>
      <c r="K29" s="4">
        <v>9528331044</v>
      </c>
      <c r="L29" s="4">
        <v>0</v>
      </c>
      <c r="M29" s="4">
        <v>0</v>
      </c>
      <c r="N29" s="4">
        <v>0</v>
      </c>
      <c r="O29" s="4">
        <v>9528331044</v>
      </c>
      <c r="P29" s="4">
        <v>8458542091</v>
      </c>
      <c r="Q29" s="5">
        <v>45895</v>
      </c>
      <c r="R29" s="5">
        <v>44800</v>
      </c>
      <c r="S29" s="5">
        <v>44798</v>
      </c>
      <c r="T29" s="5">
        <v>44826</v>
      </c>
      <c r="U29" s="4">
        <v>99.5</v>
      </c>
      <c r="V29" s="4">
        <v>88.77</v>
      </c>
      <c r="W29" s="3"/>
      <c r="X29" s="3"/>
      <c r="Y29" s="5">
        <v>44797</v>
      </c>
      <c r="Z29" s="5">
        <v>45012</v>
      </c>
      <c r="AA29" s="5">
        <v>45054</v>
      </c>
      <c r="AB29" s="5">
        <v>45111</v>
      </c>
      <c r="AC29" s="5">
        <v>45858</v>
      </c>
      <c r="AD29" s="5">
        <v>45858</v>
      </c>
      <c r="AE29" s="5">
        <v>46127</v>
      </c>
      <c r="AF29" s="3" t="s">
        <v>243</v>
      </c>
      <c r="AG29" s="3" t="s">
        <v>244</v>
      </c>
      <c r="AH29" s="5">
        <v>46122</v>
      </c>
      <c r="AI29" s="3"/>
      <c r="AJ29" s="3"/>
      <c r="AK29" s="3"/>
      <c r="AL29" s="3" t="str">
        <f t="shared" si="0"/>
        <v/>
      </c>
      <c r="AM29" s="3" t="str">
        <f t="shared" si="1"/>
        <v/>
      </c>
      <c r="AN29" s="3">
        <f t="shared" si="2"/>
        <v>100</v>
      </c>
      <c r="AO29" s="3" t="str">
        <f t="shared" si="3"/>
        <v/>
      </c>
      <c r="AP29" s="3">
        <v>2</v>
      </c>
      <c r="AQ29" s="3"/>
      <c r="AR29" s="3">
        <f t="shared" si="4"/>
        <v>100</v>
      </c>
      <c r="AS29" s="4">
        <v>80</v>
      </c>
      <c r="AT29" s="3">
        <f t="shared" si="5"/>
        <v>75</v>
      </c>
      <c r="AU29" s="3" t="str">
        <f t="shared" si="6"/>
        <v/>
      </c>
      <c r="AV29" s="3" t="s">
        <v>245</v>
      </c>
      <c r="AW29" s="22" t="s">
        <v>898</v>
      </c>
    </row>
    <row r="30" spans="1:49" ht="69.95" customHeight="1" x14ac:dyDescent="0.25">
      <c r="A30" s="3" t="s">
        <v>246</v>
      </c>
      <c r="B30" s="3" t="s">
        <v>89</v>
      </c>
      <c r="C30" s="3" t="s">
        <v>247</v>
      </c>
      <c r="D30" s="3" t="s">
        <v>248</v>
      </c>
      <c r="E30" s="3" t="s">
        <v>220</v>
      </c>
      <c r="F30" s="3" t="s">
        <v>249</v>
      </c>
      <c r="G30" s="3" t="s">
        <v>207</v>
      </c>
      <c r="H30" s="3" t="s">
        <v>103</v>
      </c>
      <c r="I30" s="3" t="s">
        <v>94</v>
      </c>
      <c r="J30" s="3" t="s">
        <v>95</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46127</v>
      </c>
      <c r="AF30" s="3"/>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208</v>
      </c>
      <c r="AW30" s="22" t="s">
        <v>898</v>
      </c>
    </row>
    <row r="31" spans="1:49" ht="69.95" customHeight="1" x14ac:dyDescent="0.25">
      <c r="A31" s="3" t="s">
        <v>250</v>
      </c>
      <c r="B31" s="3" t="s">
        <v>89</v>
      </c>
      <c r="C31" s="3" t="s">
        <v>251</v>
      </c>
      <c r="D31" s="3" t="s">
        <v>252</v>
      </c>
      <c r="E31" s="3" t="s">
        <v>253</v>
      </c>
      <c r="F31" s="3" t="s">
        <v>254</v>
      </c>
      <c r="G31" s="3" t="s">
        <v>57</v>
      </c>
      <c r="H31" s="3" t="s">
        <v>58</v>
      </c>
      <c r="I31" s="3" t="s">
        <v>94</v>
      </c>
      <c r="J31" s="3" t="s">
        <v>215</v>
      </c>
      <c r="K31" s="4">
        <v>1226001186</v>
      </c>
      <c r="L31" s="4">
        <v>0</v>
      </c>
      <c r="M31" s="4">
        <v>0</v>
      </c>
      <c r="N31" s="4">
        <v>0</v>
      </c>
      <c r="O31" s="4">
        <v>1226001186</v>
      </c>
      <c r="P31" s="4">
        <v>1170382910.0899999</v>
      </c>
      <c r="Q31" s="5">
        <v>45951</v>
      </c>
      <c r="R31" s="5">
        <v>45104</v>
      </c>
      <c r="S31" s="5">
        <v>45094</v>
      </c>
      <c r="T31" s="5">
        <v>45107</v>
      </c>
      <c r="U31" s="4">
        <v>100</v>
      </c>
      <c r="V31" s="4">
        <v>95.46</v>
      </c>
      <c r="W31" s="3"/>
      <c r="X31" s="3"/>
      <c r="Y31" s="5">
        <v>45093</v>
      </c>
      <c r="Z31" s="5">
        <v>45250</v>
      </c>
      <c r="AA31" s="5">
        <v>45348</v>
      </c>
      <c r="AB31" s="5">
        <v>45426</v>
      </c>
      <c r="AC31" s="5">
        <v>45900</v>
      </c>
      <c r="AD31" s="5">
        <v>45900</v>
      </c>
      <c r="AE31" s="5">
        <v>46127</v>
      </c>
      <c r="AF31" s="3" t="s">
        <v>255</v>
      </c>
      <c r="AG31" s="3" t="s">
        <v>256</v>
      </c>
      <c r="AH31" s="5">
        <v>46122</v>
      </c>
      <c r="AI31" s="3"/>
      <c r="AJ31" s="3"/>
      <c r="AK31" s="3"/>
      <c r="AL31" s="3" t="str">
        <f t="shared" si="0"/>
        <v/>
      </c>
      <c r="AM31" s="3" t="str">
        <f t="shared" si="1"/>
        <v/>
      </c>
      <c r="AN31" s="3">
        <f t="shared" si="2"/>
        <v>100</v>
      </c>
      <c r="AO31" s="3" t="str">
        <f t="shared" si="3"/>
        <v/>
      </c>
      <c r="AP31" s="3">
        <v>2</v>
      </c>
      <c r="AQ31" s="3"/>
      <c r="AR31" s="3">
        <f t="shared" si="4"/>
        <v>100</v>
      </c>
      <c r="AS31" s="4">
        <v>100</v>
      </c>
      <c r="AT31" s="3">
        <f t="shared" si="5"/>
        <v>75</v>
      </c>
      <c r="AU31" s="3" t="str">
        <f t="shared" si="6"/>
        <v/>
      </c>
      <c r="AV31" s="3" t="s">
        <v>257</v>
      </c>
      <c r="AW31" s="22" t="s">
        <v>897</v>
      </c>
    </row>
    <row r="32" spans="1:49" ht="69.95" customHeight="1" x14ac:dyDescent="0.25">
      <c r="A32" s="3" t="s">
        <v>258</v>
      </c>
      <c r="B32" s="3" t="s">
        <v>89</v>
      </c>
      <c r="C32" s="3" t="s">
        <v>259</v>
      </c>
      <c r="D32" s="3" t="s">
        <v>260</v>
      </c>
      <c r="E32" s="3" t="s">
        <v>92</v>
      </c>
      <c r="F32" s="3" t="s">
        <v>261</v>
      </c>
      <c r="G32" s="3" t="s">
        <v>68</v>
      </c>
      <c r="H32" s="3" t="s">
        <v>84</v>
      </c>
      <c r="I32" s="3" t="s">
        <v>94</v>
      </c>
      <c r="J32" s="3" t="s">
        <v>262</v>
      </c>
      <c r="K32" s="4">
        <v>10940798931</v>
      </c>
      <c r="L32" s="4">
        <v>0</v>
      </c>
      <c r="M32" s="4">
        <v>0</v>
      </c>
      <c r="N32" s="4">
        <v>0</v>
      </c>
      <c r="O32" s="4">
        <v>10940798931</v>
      </c>
      <c r="P32" s="4">
        <v>8111861155.8900003</v>
      </c>
      <c r="Q32" s="5">
        <v>46108</v>
      </c>
      <c r="R32" s="5">
        <v>45474</v>
      </c>
      <c r="S32" s="5">
        <v>45472</v>
      </c>
      <c r="T32" s="5">
        <v>45490</v>
      </c>
      <c r="U32" s="4">
        <v>64.930000000000007</v>
      </c>
      <c r="V32" s="4">
        <v>74.14</v>
      </c>
      <c r="W32" s="3">
        <v>1</v>
      </c>
      <c r="X32" s="3">
        <v>0.77</v>
      </c>
      <c r="Y32" s="5">
        <v>45471</v>
      </c>
      <c r="Z32" s="5">
        <v>45573</v>
      </c>
      <c r="AA32" s="5">
        <v>45793</v>
      </c>
      <c r="AB32" s="5">
        <v>45847</v>
      </c>
      <c r="AC32" s="5">
        <v>46151</v>
      </c>
      <c r="AD32" s="5"/>
      <c r="AE32" s="5">
        <v>46127</v>
      </c>
      <c r="AF32" s="3" t="s">
        <v>263</v>
      </c>
      <c r="AG32" s="3" t="s">
        <v>264</v>
      </c>
      <c r="AH32" s="5">
        <v>46122</v>
      </c>
      <c r="AI32" s="3"/>
      <c r="AJ32" s="3"/>
      <c r="AK32" s="3"/>
      <c r="AL32" s="3">
        <f t="shared" si="0"/>
        <v>84.782608695652186</v>
      </c>
      <c r="AM32" s="3">
        <f t="shared" si="1"/>
        <v>100</v>
      </c>
      <c r="AN32" s="3">
        <f t="shared" si="2"/>
        <v>100</v>
      </c>
      <c r="AO32" s="3">
        <f t="shared" si="3"/>
        <v>100</v>
      </c>
      <c r="AP32" s="3">
        <v>0</v>
      </c>
      <c r="AQ32" s="3"/>
      <c r="AR32" s="3">
        <f t="shared" si="4"/>
        <v>100</v>
      </c>
      <c r="AS32" s="4">
        <v>100</v>
      </c>
      <c r="AT32" s="3">
        <f t="shared" si="5"/>
        <v>100</v>
      </c>
      <c r="AU32" s="7">
        <f t="shared" si="6"/>
        <v>93.913043478260875</v>
      </c>
      <c r="AV32" s="3" t="s">
        <v>265</v>
      </c>
      <c r="AW32" s="22" t="s">
        <v>897</v>
      </c>
    </row>
    <row r="33" spans="1:49" ht="69.95" customHeight="1" x14ac:dyDescent="0.25">
      <c r="A33" s="3" t="s">
        <v>266</v>
      </c>
      <c r="B33" s="3" t="s">
        <v>267</v>
      </c>
      <c r="C33" s="11" t="s">
        <v>268</v>
      </c>
      <c r="D33" s="3" t="s">
        <v>269</v>
      </c>
      <c r="E33" s="3" t="s">
        <v>270</v>
      </c>
      <c r="F33" s="3" t="s">
        <v>271</v>
      </c>
      <c r="G33" s="3" t="s">
        <v>68</v>
      </c>
      <c r="H33" s="3" t="s">
        <v>84</v>
      </c>
      <c r="I33" s="3" t="s">
        <v>69</v>
      </c>
      <c r="J33" s="3" t="s">
        <v>95</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46127</v>
      </c>
      <c r="AF33" s="3" t="s">
        <v>272</v>
      </c>
      <c r="AG33" s="3" t="s">
        <v>273</v>
      </c>
      <c r="AH33" s="5">
        <v>46122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24</v>
      </c>
      <c r="AV33" s="3" t="s">
        <v>274</v>
      </c>
      <c r="AW33" s="22" t="s">
        <v>898</v>
      </c>
    </row>
    <row r="34" spans="1:49" ht="69.95" customHeight="1" x14ac:dyDescent="0.25">
      <c r="A34" s="3" t="s">
        <v>275</v>
      </c>
      <c r="B34" s="3" t="s">
        <v>89</v>
      </c>
      <c r="C34" s="3" t="s">
        <v>276</v>
      </c>
      <c r="D34" s="3" t="s">
        <v>277</v>
      </c>
      <c r="E34" s="3" t="s">
        <v>278</v>
      </c>
      <c r="F34" s="3" t="s">
        <v>279</v>
      </c>
      <c r="G34" s="3" t="s">
        <v>207</v>
      </c>
      <c r="H34" s="3" t="s">
        <v>103</v>
      </c>
      <c r="I34" s="3" t="s">
        <v>94</v>
      </c>
      <c r="J34" s="3" t="s">
        <v>95</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46127</v>
      </c>
      <c r="AF34" s="3"/>
      <c r="AG34" s="3"/>
      <c r="AH34" s="5"/>
      <c r="AI34" s="3"/>
      <c r="AJ34" s="3"/>
      <c r="AK34" s="3"/>
      <c r="AL34" s="3" t="str">
        <f t="shared" si="0"/>
        <v/>
      </c>
      <c r="AM34" s="3" t="str">
        <f t="shared" si="1"/>
        <v/>
      </c>
      <c r="AN34" s="3">
        <f t="shared" si="2"/>
        <v>100</v>
      </c>
      <c r="AO34" s="3" t="str">
        <f t="shared" si="3"/>
        <v/>
      </c>
      <c r="AP34" s="3">
        <v>1</v>
      </c>
      <c r="AQ34" s="3"/>
      <c r="AR34" s="3" t="str">
        <f t="shared" si="4"/>
        <v/>
      </c>
      <c r="AS34" s="4"/>
      <c r="AT34" s="3">
        <f t="shared" si="5"/>
        <v>90</v>
      </c>
      <c r="AU34" s="3" t="str">
        <f t="shared" si="6"/>
        <v/>
      </c>
      <c r="AV34" s="3" t="s">
        <v>208</v>
      </c>
      <c r="AW34" s="22" t="s">
        <v>897</v>
      </c>
    </row>
    <row r="35" spans="1:49" ht="69.95" customHeight="1" x14ac:dyDescent="0.25">
      <c r="A35" s="3" t="s">
        <v>280</v>
      </c>
      <c r="B35" s="3" t="s">
        <v>52</v>
      </c>
      <c r="C35" s="3" t="s">
        <v>281</v>
      </c>
      <c r="D35" s="3" t="s">
        <v>282</v>
      </c>
      <c r="E35" s="3" t="s">
        <v>283</v>
      </c>
      <c r="F35" s="3" t="s">
        <v>284</v>
      </c>
      <c r="G35" s="3" t="s">
        <v>207</v>
      </c>
      <c r="H35" s="3" t="s">
        <v>103</v>
      </c>
      <c r="I35" s="3" t="s">
        <v>159</v>
      </c>
      <c r="J35" s="3" t="s">
        <v>95</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46127</v>
      </c>
      <c r="AF35" s="3"/>
      <c r="AG35" s="3"/>
      <c r="AH35" s="5"/>
      <c r="AI35" s="3"/>
      <c r="AJ35" s="3"/>
      <c r="AK35" s="3"/>
      <c r="AL35" s="3" t="str">
        <f t="shared" ref="AL35:AL58"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8"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8"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8" si="10">IF(AND($U35&gt;$V35,$G35="CONTRATADO EN EJECUCIÓN"),100,IF(AND($V35&gt;$U35,($V35-$U35)&gt;50,$G35="CONTRATADO EN EJECUCIÓN"),0,IF(AND($V35&gt;$U35,($V35-$U35)&lt;=50,$V35&lt;=60),100,IF(AND($V35&gt;$U35,($V35-$U35)&lt;=50,$V35&gt;60),$AN35,""))))</f>
        <v/>
      </c>
      <c r="AP35" s="3">
        <v>0</v>
      </c>
      <c r="AQ35" s="3"/>
      <c r="AR35" s="3" t="str">
        <f t="shared" ref="AR35:AR58" si="11">IF(ISNUMBER($AH35),IF(DAY($AH35)=10,100,IF(DAY($AH35)=11,80,IF(DAY($AH35)=12,50,0))),"")</f>
        <v/>
      </c>
      <c r="AS35" s="4"/>
      <c r="AT35" s="3">
        <f t="shared" ref="AT35:AT58" si="12">IF($AP35=0,100,IF($AP35=1,90,IF($AP35=2,75,IF($AP35=3,60,IF($AP35=4,50,IF($AP35=5,25,IF($AP35&gt;=6,0,"")))))))</f>
        <v>100</v>
      </c>
      <c r="AU35" s="3" t="str">
        <f t="shared" ref="AU35:AU58" si="13">IFERROR(IF(AND($G35="CONTRATADO EN EJECUCIÓN",$AP35&gt;=1),(IFERROR(IF(ISTEXT($AF35),($AL35*0.4+$AM35*0.2+$AO35*0.4),""),""))*$AT35/100,IFERROR(IF(ISTEXT($AF35),($AL35*0.4+$AM35*0.2+$AO35*0.4),""),"")),0)</f>
        <v/>
      </c>
      <c r="AV35" s="3" t="s">
        <v>208</v>
      </c>
      <c r="AW35" s="22" t="s">
        <v>896</v>
      </c>
    </row>
    <row r="36" spans="1:49" ht="69.95" customHeight="1" x14ac:dyDescent="0.25">
      <c r="A36" s="3" t="s">
        <v>285</v>
      </c>
      <c r="B36" s="3" t="s">
        <v>89</v>
      </c>
      <c r="C36" s="3" t="s">
        <v>286</v>
      </c>
      <c r="D36" s="3" t="s">
        <v>287</v>
      </c>
      <c r="E36" s="3" t="s">
        <v>92</v>
      </c>
      <c r="F36" s="3" t="s">
        <v>288</v>
      </c>
      <c r="G36" s="3" t="s">
        <v>68</v>
      </c>
      <c r="H36" s="3" t="s">
        <v>84</v>
      </c>
      <c r="I36" s="3" t="s">
        <v>94</v>
      </c>
      <c r="J36" s="3" t="s">
        <v>95</v>
      </c>
      <c r="K36" s="4">
        <v>23521931236</v>
      </c>
      <c r="L36" s="4">
        <v>0</v>
      </c>
      <c r="M36" s="4">
        <v>30000000000</v>
      </c>
      <c r="N36" s="4">
        <v>0</v>
      </c>
      <c r="O36" s="4">
        <v>53521931236</v>
      </c>
      <c r="P36" s="4">
        <v>1825143890</v>
      </c>
      <c r="Q36" s="5">
        <v>46078</v>
      </c>
      <c r="R36" s="5">
        <v>45508</v>
      </c>
      <c r="S36" s="5">
        <v>45506</v>
      </c>
      <c r="T36" s="5">
        <v>45505</v>
      </c>
      <c r="U36" s="4">
        <v>4</v>
      </c>
      <c r="V36" s="4">
        <v>2.77</v>
      </c>
      <c r="W36" s="3">
        <v>1</v>
      </c>
      <c r="X36" s="3">
        <v>0.59</v>
      </c>
      <c r="Y36" s="5">
        <v>45505</v>
      </c>
      <c r="Z36" s="5"/>
      <c r="AA36" s="5">
        <v>45953</v>
      </c>
      <c r="AB36" s="5">
        <v>45967</v>
      </c>
      <c r="AC36" s="5">
        <v>46727</v>
      </c>
      <c r="AD36" s="5"/>
      <c r="AE36" s="5">
        <v>46127</v>
      </c>
      <c r="AF36" s="3" t="s">
        <v>289</v>
      </c>
      <c r="AG36" s="3" t="s">
        <v>290</v>
      </c>
      <c r="AH36" s="5">
        <v>46122</v>
      </c>
      <c r="AI36" s="3"/>
      <c r="AJ36" s="3"/>
      <c r="AK36" s="3"/>
      <c r="AL36" s="3">
        <f t="shared" si="7"/>
        <v>45.652173913043477</v>
      </c>
      <c r="AM36" s="3">
        <f t="shared" si="8"/>
        <v>100</v>
      </c>
      <c r="AN36" s="3">
        <f t="shared" si="9"/>
        <v>100</v>
      </c>
      <c r="AO36" s="3">
        <f t="shared" si="10"/>
        <v>100</v>
      </c>
      <c r="AP36" s="3">
        <v>0</v>
      </c>
      <c r="AQ36" s="3"/>
      <c r="AR36" s="3">
        <f t="shared" si="11"/>
        <v>100</v>
      </c>
      <c r="AS36" s="4">
        <v>100</v>
      </c>
      <c r="AT36" s="3">
        <f t="shared" si="12"/>
        <v>100</v>
      </c>
      <c r="AU36" s="7">
        <f t="shared" si="13"/>
        <v>78.260869565217391</v>
      </c>
      <c r="AV36" s="3" t="s">
        <v>291</v>
      </c>
      <c r="AW36" s="22" t="s">
        <v>898</v>
      </c>
    </row>
    <row r="37" spans="1:49" ht="69.95" customHeight="1" x14ac:dyDescent="0.25">
      <c r="A37" s="3" t="s">
        <v>292</v>
      </c>
      <c r="B37" s="3" t="s">
        <v>73</v>
      </c>
      <c r="C37" s="11" t="s">
        <v>293</v>
      </c>
      <c r="D37" s="3" t="s">
        <v>294</v>
      </c>
      <c r="E37" s="3" t="s">
        <v>135</v>
      </c>
      <c r="F37" s="3" t="s">
        <v>295</v>
      </c>
      <c r="G37" s="3" t="s">
        <v>68</v>
      </c>
      <c r="H37" s="3" t="s">
        <v>84</v>
      </c>
      <c r="I37" s="3" t="s">
        <v>69</v>
      </c>
      <c r="J37" s="3" t="s">
        <v>95</v>
      </c>
      <c r="K37" s="4">
        <v>2999999744</v>
      </c>
      <c r="L37" s="4">
        <v>0</v>
      </c>
      <c r="M37" s="4">
        <v>0</v>
      </c>
      <c r="N37" s="4">
        <v>0</v>
      </c>
      <c r="O37" s="4">
        <v>2999999744</v>
      </c>
      <c r="P37" s="4">
        <v>2999999744</v>
      </c>
      <c r="Q37" s="5">
        <v>45477</v>
      </c>
      <c r="R37" s="5">
        <v>45241</v>
      </c>
      <c r="S37" s="5">
        <v>45234</v>
      </c>
      <c r="T37" s="5">
        <v>45244</v>
      </c>
      <c r="U37" s="4">
        <v>93.95</v>
      </c>
      <c r="V37" s="4">
        <v>100</v>
      </c>
      <c r="W37" s="3">
        <v>0</v>
      </c>
      <c r="X37" s="3">
        <v>0</v>
      </c>
      <c r="Y37" s="5">
        <v>45233</v>
      </c>
      <c r="Z37" s="5">
        <v>45408</v>
      </c>
      <c r="AA37" s="5">
        <v>45427</v>
      </c>
      <c r="AB37" s="5">
        <v>45440</v>
      </c>
      <c r="AC37" s="5">
        <v>45900</v>
      </c>
      <c r="AD37" s="5"/>
      <c r="AE37" s="5">
        <v>46127</v>
      </c>
      <c r="AF37" s="3" t="s">
        <v>296</v>
      </c>
      <c r="AG37" s="3" t="s">
        <v>297</v>
      </c>
      <c r="AH37" s="5">
        <v>46126</v>
      </c>
      <c r="AI37" s="3"/>
      <c r="AJ37" s="3"/>
      <c r="AK37" s="3"/>
      <c r="AL37" s="3">
        <f t="shared" si="7"/>
        <v>0</v>
      </c>
      <c r="AM37" s="3">
        <f t="shared" si="8"/>
        <v>0</v>
      </c>
      <c r="AN37" s="3">
        <f t="shared" si="9"/>
        <v>100</v>
      </c>
      <c r="AO37" s="3">
        <f t="shared" si="10"/>
        <v>100</v>
      </c>
      <c r="AP37" s="3">
        <v>1</v>
      </c>
      <c r="AQ37" s="3"/>
      <c r="AR37" s="3">
        <f t="shared" si="11"/>
        <v>0</v>
      </c>
      <c r="AS37" s="4">
        <v>80</v>
      </c>
      <c r="AT37" s="3">
        <f t="shared" si="12"/>
        <v>90</v>
      </c>
      <c r="AU37" s="3">
        <f t="shared" si="13"/>
        <v>36</v>
      </c>
      <c r="AV37" s="3" t="s">
        <v>298</v>
      </c>
      <c r="AW37" s="22" t="s">
        <v>896</v>
      </c>
    </row>
    <row r="38" spans="1:49" ht="69.95" customHeight="1" x14ac:dyDescent="0.25">
      <c r="A38" s="3" t="s">
        <v>299</v>
      </c>
      <c r="B38" s="3" t="s">
        <v>89</v>
      </c>
      <c r="C38" s="3" t="s">
        <v>300</v>
      </c>
      <c r="D38" s="3" t="s">
        <v>301</v>
      </c>
      <c r="E38" s="3" t="s">
        <v>212</v>
      </c>
      <c r="F38" s="3" t="s">
        <v>302</v>
      </c>
      <c r="G38" s="3" t="s">
        <v>68</v>
      </c>
      <c r="H38" s="3" t="s">
        <v>84</v>
      </c>
      <c r="I38" s="3" t="s">
        <v>94</v>
      </c>
      <c r="J38" s="3" t="s">
        <v>303</v>
      </c>
      <c r="K38" s="4">
        <v>10877971203</v>
      </c>
      <c r="L38" s="4">
        <v>0</v>
      </c>
      <c r="M38" s="4">
        <v>0</v>
      </c>
      <c r="N38" s="4">
        <v>0</v>
      </c>
      <c r="O38" s="4">
        <v>10877971203</v>
      </c>
      <c r="P38" s="4">
        <v>6973821945.6599998</v>
      </c>
      <c r="Q38" s="5">
        <v>46072</v>
      </c>
      <c r="R38" s="5">
        <v>45301</v>
      </c>
      <c r="S38" s="5">
        <v>45291</v>
      </c>
      <c r="T38" s="5">
        <v>45290</v>
      </c>
      <c r="U38" s="4">
        <v>51.81</v>
      </c>
      <c r="V38" s="4">
        <v>64.11</v>
      </c>
      <c r="W38" s="3">
        <v>1</v>
      </c>
      <c r="X38" s="3">
        <v>0.73</v>
      </c>
      <c r="Y38" s="5">
        <v>45290</v>
      </c>
      <c r="Z38" s="5">
        <v>45411</v>
      </c>
      <c r="AA38" s="5">
        <v>45573</v>
      </c>
      <c r="AB38" s="5">
        <v>45616</v>
      </c>
      <c r="AC38" s="5">
        <v>46177</v>
      </c>
      <c r="AD38" s="5"/>
      <c r="AE38" s="5">
        <v>46127</v>
      </c>
      <c r="AF38" s="3" t="s">
        <v>304</v>
      </c>
      <c r="AG38" s="3" t="s">
        <v>305</v>
      </c>
      <c r="AH38" s="5">
        <v>46126</v>
      </c>
      <c r="AI38" s="3"/>
      <c r="AJ38" s="3"/>
      <c r="AK38" s="3"/>
      <c r="AL38" s="3">
        <f t="shared" si="7"/>
        <v>76.08695652173914</v>
      </c>
      <c r="AM38" s="3">
        <f t="shared" si="8"/>
        <v>100</v>
      </c>
      <c r="AN38" s="3">
        <f t="shared" si="9"/>
        <v>100</v>
      </c>
      <c r="AO38" s="3">
        <f t="shared" si="10"/>
        <v>100</v>
      </c>
      <c r="AP38" s="3">
        <v>1</v>
      </c>
      <c r="AQ38" s="3"/>
      <c r="AR38" s="3">
        <f t="shared" si="11"/>
        <v>0</v>
      </c>
      <c r="AS38" s="4">
        <v>100</v>
      </c>
      <c r="AT38" s="3">
        <f t="shared" si="12"/>
        <v>90</v>
      </c>
      <c r="AU38" s="7">
        <f t="shared" si="13"/>
        <v>81.391304347826093</v>
      </c>
      <c r="AV38" s="3" t="s">
        <v>306</v>
      </c>
      <c r="AW38" s="22" t="s">
        <v>897</v>
      </c>
    </row>
    <row r="39" spans="1:49" ht="69.95" customHeight="1" x14ac:dyDescent="0.25">
      <c r="A39" s="3" t="s">
        <v>307</v>
      </c>
      <c r="B39" s="3" t="s">
        <v>52</v>
      </c>
      <c r="C39" s="3" t="s">
        <v>308</v>
      </c>
      <c r="D39" s="3" t="s">
        <v>309</v>
      </c>
      <c r="E39" s="3" t="s">
        <v>283</v>
      </c>
      <c r="F39" s="3" t="s">
        <v>310</v>
      </c>
      <c r="G39" s="3" t="s">
        <v>57</v>
      </c>
      <c r="H39" s="3" t="s">
        <v>84</v>
      </c>
      <c r="I39" s="3" t="s">
        <v>159</v>
      </c>
      <c r="J39" s="3" t="s">
        <v>311</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46127</v>
      </c>
      <c r="AF39" s="3" t="s">
        <v>312</v>
      </c>
      <c r="AG39" s="3" t="s">
        <v>86</v>
      </c>
      <c r="AH39" s="5">
        <v>46127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13"/>
        <v/>
      </c>
      <c r="AV39" s="3" t="s">
        <v>313</v>
      </c>
      <c r="AW39" s="22" t="s">
        <v>896</v>
      </c>
    </row>
    <row r="40" spans="1:49" ht="69.95" customHeight="1" x14ac:dyDescent="0.25">
      <c r="A40" s="9" t="s">
        <v>314</v>
      </c>
      <c r="B40" s="9" t="s">
        <v>89</v>
      </c>
      <c r="C40" s="9" t="s">
        <v>315</v>
      </c>
      <c r="D40" s="9" t="s">
        <v>316</v>
      </c>
      <c r="E40" s="9" t="s">
        <v>278</v>
      </c>
      <c r="F40" s="9" t="s">
        <v>317</v>
      </c>
      <c r="G40" s="9" t="s">
        <v>68</v>
      </c>
      <c r="H40" s="3" t="s">
        <v>84</v>
      </c>
      <c r="I40" s="3" t="s">
        <v>59</v>
      </c>
      <c r="J40" s="3" t="s">
        <v>95</v>
      </c>
      <c r="K40" s="4">
        <v>2401226400</v>
      </c>
      <c r="L40" s="4">
        <v>0</v>
      </c>
      <c r="M40" s="4">
        <v>0</v>
      </c>
      <c r="N40" s="4">
        <v>0</v>
      </c>
      <c r="O40" s="4">
        <v>2401226400</v>
      </c>
      <c r="P40" s="4">
        <v>899593080</v>
      </c>
      <c r="Q40" s="5">
        <v>46041</v>
      </c>
      <c r="R40" s="5">
        <v>45759</v>
      </c>
      <c r="S40" s="5">
        <v>45757</v>
      </c>
      <c r="T40" s="5">
        <v>45770</v>
      </c>
      <c r="U40" s="4">
        <v>42.44</v>
      </c>
      <c r="V40" s="4">
        <v>37.46</v>
      </c>
      <c r="W40" s="3">
        <v>1</v>
      </c>
      <c r="X40" s="3">
        <v>0.79</v>
      </c>
      <c r="Y40" s="5">
        <v>45756</v>
      </c>
      <c r="Z40" s="5">
        <v>45917</v>
      </c>
      <c r="AA40" s="5">
        <v>45994</v>
      </c>
      <c r="AB40" s="5">
        <v>46006</v>
      </c>
      <c r="AC40" s="5">
        <v>46198</v>
      </c>
      <c r="AD40" s="5"/>
      <c r="AE40" s="5">
        <v>46127</v>
      </c>
      <c r="AF40" s="3" t="s">
        <v>289</v>
      </c>
      <c r="AG40" s="3" t="s">
        <v>318</v>
      </c>
      <c r="AH40" s="5">
        <v>46126</v>
      </c>
      <c r="AI40" s="3"/>
      <c r="AJ40" s="3"/>
      <c r="AK40" s="3"/>
      <c r="AL40" s="3">
        <f t="shared" si="7"/>
        <v>89.130434782608717</v>
      </c>
      <c r="AM40" s="3">
        <f t="shared" si="8"/>
        <v>100</v>
      </c>
      <c r="AN40" s="3">
        <f t="shared" si="9"/>
        <v>100</v>
      </c>
      <c r="AO40" s="3">
        <f t="shared" si="10"/>
        <v>100</v>
      </c>
      <c r="AP40" s="3">
        <v>0</v>
      </c>
      <c r="AQ40" s="3"/>
      <c r="AR40" s="3">
        <f t="shared" si="11"/>
        <v>0</v>
      </c>
      <c r="AS40" s="4">
        <v>100</v>
      </c>
      <c r="AT40" s="3">
        <f t="shared" si="12"/>
        <v>100</v>
      </c>
      <c r="AU40" s="7">
        <f t="shared" si="13"/>
        <v>95.652173913043498</v>
      </c>
      <c r="AV40" s="3" t="s">
        <v>319</v>
      </c>
      <c r="AW40" s="22" t="s">
        <v>897</v>
      </c>
    </row>
    <row r="41" spans="1:49" ht="69.95" customHeight="1" x14ac:dyDescent="0.25">
      <c r="A41" s="3" t="s">
        <v>320</v>
      </c>
      <c r="B41" s="3" t="s">
        <v>267</v>
      </c>
      <c r="C41" s="3" t="s">
        <v>321</v>
      </c>
      <c r="D41" s="3" t="s">
        <v>322</v>
      </c>
      <c r="E41" s="3" t="s">
        <v>270</v>
      </c>
      <c r="F41" s="3" t="s">
        <v>323</v>
      </c>
      <c r="G41" s="3" t="s">
        <v>68</v>
      </c>
      <c r="H41" s="3" t="s">
        <v>84</v>
      </c>
      <c r="I41" s="3" t="s">
        <v>69</v>
      </c>
      <c r="J41" s="3" t="s">
        <v>215</v>
      </c>
      <c r="K41" s="4">
        <v>1207242704</v>
      </c>
      <c r="L41" s="4">
        <v>0</v>
      </c>
      <c r="M41" s="4">
        <v>219361128</v>
      </c>
      <c r="N41" s="4">
        <v>0</v>
      </c>
      <c r="O41" s="4">
        <v>1426603832</v>
      </c>
      <c r="P41" s="4">
        <v>943448256</v>
      </c>
      <c r="Q41" s="5">
        <v>45994</v>
      </c>
      <c r="R41" s="5">
        <v>45590</v>
      </c>
      <c r="S41" s="5">
        <v>45583</v>
      </c>
      <c r="T41" s="5">
        <v>45636</v>
      </c>
      <c r="U41" s="4">
        <v>99.87</v>
      </c>
      <c r="V41" s="4">
        <v>66.13</v>
      </c>
      <c r="W41" s="3">
        <v>1</v>
      </c>
      <c r="X41" s="3">
        <v>1</v>
      </c>
      <c r="Y41" s="5">
        <v>45582</v>
      </c>
      <c r="Z41" s="5">
        <v>45754</v>
      </c>
      <c r="AA41" s="5">
        <v>45762</v>
      </c>
      <c r="AB41" s="5">
        <v>45793</v>
      </c>
      <c r="AC41" s="5">
        <v>46127</v>
      </c>
      <c r="AD41" s="5"/>
      <c r="AE41" s="5">
        <v>46127</v>
      </c>
      <c r="AF41" s="3" t="s">
        <v>324</v>
      </c>
      <c r="AG41" s="3" t="s">
        <v>325</v>
      </c>
      <c r="AH41" s="5">
        <v>46122</v>
      </c>
      <c r="AI41" s="3"/>
      <c r="AJ41" s="3"/>
      <c r="AK41" s="3"/>
      <c r="AL41" s="3">
        <f t="shared" si="7"/>
        <v>100</v>
      </c>
      <c r="AM41" s="3">
        <f t="shared" si="8"/>
        <v>100</v>
      </c>
      <c r="AN41" s="3">
        <f t="shared" si="9"/>
        <v>100</v>
      </c>
      <c r="AO41" s="3">
        <f t="shared" si="10"/>
        <v>100</v>
      </c>
      <c r="AP41" s="3">
        <v>1</v>
      </c>
      <c r="AQ41" s="3"/>
      <c r="AR41" s="3">
        <f t="shared" si="11"/>
        <v>100</v>
      </c>
      <c r="AS41" s="4">
        <v>100</v>
      </c>
      <c r="AT41" s="3">
        <f t="shared" si="12"/>
        <v>90</v>
      </c>
      <c r="AU41" s="3">
        <f t="shared" si="13"/>
        <v>90</v>
      </c>
      <c r="AV41" s="3" t="s">
        <v>326</v>
      </c>
      <c r="AW41" s="22" t="s">
        <v>898</v>
      </c>
    </row>
    <row r="42" spans="1:49" ht="69.95" customHeight="1" x14ac:dyDescent="0.25">
      <c r="A42" s="3" t="s">
        <v>327</v>
      </c>
      <c r="B42" s="3" t="s">
        <v>267</v>
      </c>
      <c r="C42" s="3" t="s">
        <v>328</v>
      </c>
      <c r="D42" s="3" t="s">
        <v>329</v>
      </c>
      <c r="E42" s="3" t="s">
        <v>270</v>
      </c>
      <c r="F42" s="3" t="s">
        <v>323</v>
      </c>
      <c r="G42" s="3" t="s">
        <v>68</v>
      </c>
      <c r="H42" s="3" t="s">
        <v>84</v>
      </c>
      <c r="I42" s="3" t="s">
        <v>69</v>
      </c>
      <c r="J42" s="3" t="s">
        <v>95</v>
      </c>
      <c r="K42" s="4">
        <v>7025611116</v>
      </c>
      <c r="L42" s="4">
        <v>0</v>
      </c>
      <c r="M42" s="4">
        <v>633276980</v>
      </c>
      <c r="N42" s="4">
        <v>0</v>
      </c>
      <c r="O42" s="4">
        <v>7658888096</v>
      </c>
      <c r="P42" s="4">
        <v>3764560164.6999998</v>
      </c>
      <c r="Q42" s="5">
        <v>46106</v>
      </c>
      <c r="R42" s="5">
        <v>45674</v>
      </c>
      <c r="S42" s="5">
        <v>45649</v>
      </c>
      <c r="T42" s="5">
        <v>45649</v>
      </c>
      <c r="U42" s="4">
        <v>66.55</v>
      </c>
      <c r="V42" s="4">
        <v>49.15</v>
      </c>
      <c r="W42" s="3">
        <v>1</v>
      </c>
      <c r="X42" s="3">
        <v>0.82</v>
      </c>
      <c r="Y42" s="5">
        <v>45649</v>
      </c>
      <c r="Z42" s="5"/>
      <c r="AA42" s="5">
        <v>45813</v>
      </c>
      <c r="AB42" s="5">
        <v>45869</v>
      </c>
      <c r="AC42" s="5">
        <v>46234</v>
      </c>
      <c r="AD42" s="5"/>
      <c r="AE42" s="5">
        <v>46127</v>
      </c>
      <c r="AF42" s="3" t="s">
        <v>330</v>
      </c>
      <c r="AG42" s="3" t="s">
        <v>325</v>
      </c>
      <c r="AH42" s="5">
        <v>46122</v>
      </c>
      <c r="AI42" s="3"/>
      <c r="AJ42" s="3"/>
      <c r="AK42" s="3"/>
      <c r="AL42" s="3">
        <f t="shared" si="7"/>
        <v>95.65217391304347</v>
      </c>
      <c r="AM42" s="3">
        <f t="shared" si="8"/>
        <v>100</v>
      </c>
      <c r="AN42" s="3">
        <f t="shared" si="9"/>
        <v>100</v>
      </c>
      <c r="AO42" s="3">
        <f t="shared" si="10"/>
        <v>100</v>
      </c>
      <c r="AP42" s="3">
        <v>0</v>
      </c>
      <c r="AQ42" s="3"/>
      <c r="AR42" s="3">
        <f t="shared" si="11"/>
        <v>100</v>
      </c>
      <c r="AS42" s="4">
        <v>100</v>
      </c>
      <c r="AT42" s="3">
        <f t="shared" si="12"/>
        <v>100</v>
      </c>
      <c r="AU42" s="3">
        <f t="shared" si="13"/>
        <v>98.260869565217391</v>
      </c>
      <c r="AV42" s="3" t="s">
        <v>331</v>
      </c>
      <c r="AW42" s="22" t="s">
        <v>901</v>
      </c>
    </row>
    <row r="43" spans="1:49" ht="183.75" customHeight="1" x14ac:dyDescent="0.25">
      <c r="A43" s="3" t="s">
        <v>332</v>
      </c>
      <c r="B43" s="3" t="s">
        <v>73</v>
      </c>
      <c r="C43" s="3" t="s">
        <v>333</v>
      </c>
      <c r="D43" s="3" t="s">
        <v>334</v>
      </c>
      <c r="E43" s="3" t="s">
        <v>135</v>
      </c>
      <c r="F43" s="3" t="s">
        <v>335</v>
      </c>
      <c r="G43" s="3" t="s">
        <v>336</v>
      </c>
      <c r="H43" s="3"/>
      <c r="I43" s="3"/>
      <c r="J43" s="3" t="s">
        <v>95</v>
      </c>
      <c r="K43" s="10">
        <v>2942601333.2800002</v>
      </c>
      <c r="L43" s="4">
        <v>0</v>
      </c>
      <c r="M43" s="4">
        <v>0</v>
      </c>
      <c r="N43" s="4">
        <v>0</v>
      </c>
      <c r="O43" s="4">
        <v>2942601333.2800002</v>
      </c>
      <c r="P43" s="4">
        <v>0</v>
      </c>
      <c r="Q43" s="5"/>
      <c r="R43" s="5">
        <v>45619</v>
      </c>
      <c r="S43" s="5">
        <v>45616</v>
      </c>
      <c r="T43" s="5">
        <v>45622</v>
      </c>
      <c r="U43" s="4">
        <v>0</v>
      </c>
      <c r="V43" s="4">
        <v>0</v>
      </c>
      <c r="W43" s="3"/>
      <c r="X43" s="3"/>
      <c r="Y43" s="5">
        <v>45615</v>
      </c>
      <c r="Z43" s="5"/>
      <c r="AA43" s="5"/>
      <c r="AB43" s="5"/>
      <c r="AC43" s="5"/>
      <c r="AD43" s="5"/>
      <c r="AE43" s="5">
        <v>46127</v>
      </c>
      <c r="AF43" s="3" t="s">
        <v>337</v>
      </c>
      <c r="AG43" s="3" t="s">
        <v>338</v>
      </c>
      <c r="AH43" s="5">
        <v>46126</v>
      </c>
      <c r="AI43" s="3">
        <v>512</v>
      </c>
      <c r="AJ43" s="3"/>
      <c r="AK43" s="3"/>
      <c r="AL43" s="3" t="str">
        <f t="shared" si="7"/>
        <v/>
      </c>
      <c r="AM43" s="3" t="str">
        <f t="shared" si="8"/>
        <v/>
      </c>
      <c r="AN43" s="3">
        <f t="shared" si="9"/>
        <v>100</v>
      </c>
      <c r="AO43" s="3" t="str">
        <f t="shared" si="10"/>
        <v/>
      </c>
      <c r="AP43" s="3">
        <v>0</v>
      </c>
      <c r="AQ43" s="3">
        <v>0</v>
      </c>
      <c r="AR43" s="3">
        <f t="shared" si="11"/>
        <v>0</v>
      </c>
      <c r="AS43" s="4">
        <v>50</v>
      </c>
      <c r="AT43" s="3">
        <f t="shared" si="12"/>
        <v>100</v>
      </c>
      <c r="AU43" s="3" t="str">
        <f t="shared" si="13"/>
        <v/>
      </c>
      <c r="AV43" s="3" t="s">
        <v>913</v>
      </c>
      <c r="AW43" s="22" t="s">
        <v>901</v>
      </c>
    </row>
    <row r="44" spans="1:49" ht="69.95" customHeight="1" x14ac:dyDescent="0.25">
      <c r="A44" s="3" t="s">
        <v>339</v>
      </c>
      <c r="B44" s="3" t="s">
        <v>267</v>
      </c>
      <c r="C44" s="3" t="s">
        <v>340</v>
      </c>
      <c r="D44" s="3" t="s">
        <v>341</v>
      </c>
      <c r="E44" s="3" t="s">
        <v>270</v>
      </c>
      <c r="F44" s="3" t="s">
        <v>342</v>
      </c>
      <c r="G44" s="3" t="s">
        <v>68</v>
      </c>
      <c r="H44" s="3" t="s">
        <v>190</v>
      </c>
      <c r="I44" s="3" t="s">
        <v>94</v>
      </c>
      <c r="J44" s="3" t="s">
        <v>215</v>
      </c>
      <c r="K44" s="4">
        <v>689677427</v>
      </c>
      <c r="L44" s="4">
        <v>0</v>
      </c>
      <c r="M44" s="4">
        <v>0</v>
      </c>
      <c r="N44" s="4">
        <v>0</v>
      </c>
      <c r="O44" s="4">
        <v>689677427</v>
      </c>
      <c r="P44" s="4">
        <v>193102898.40000001</v>
      </c>
      <c r="Q44" s="5">
        <v>45937</v>
      </c>
      <c r="R44" s="5">
        <v>45634</v>
      </c>
      <c r="S44" s="5">
        <v>45633</v>
      </c>
      <c r="T44" s="5">
        <v>45637</v>
      </c>
      <c r="U44" s="4">
        <v>69.33</v>
      </c>
      <c r="V44" s="4">
        <v>28</v>
      </c>
      <c r="W44" s="3">
        <v>0</v>
      </c>
      <c r="X44" s="3">
        <v>0</v>
      </c>
      <c r="Y44" s="5">
        <v>45632</v>
      </c>
      <c r="Z44" s="5">
        <v>45803</v>
      </c>
      <c r="AA44" s="5">
        <v>45903</v>
      </c>
      <c r="AB44" s="5">
        <v>45911</v>
      </c>
      <c r="AC44" s="5">
        <v>46077</v>
      </c>
      <c r="AD44" s="5"/>
      <c r="AE44" s="5">
        <v>46127</v>
      </c>
      <c r="AF44" s="3" t="s">
        <v>343</v>
      </c>
      <c r="AG44" s="3" t="s">
        <v>344</v>
      </c>
      <c r="AH44" s="5">
        <v>46122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13"/>
        <v>36</v>
      </c>
      <c r="AV44" s="3" t="s">
        <v>345</v>
      </c>
      <c r="AW44" s="22" t="s">
        <v>897</v>
      </c>
    </row>
    <row r="45" spans="1:49" ht="69.95" customHeight="1" x14ac:dyDescent="0.25">
      <c r="A45" s="3" t="s">
        <v>346</v>
      </c>
      <c r="B45" s="3" t="s">
        <v>89</v>
      </c>
      <c r="C45" s="3" t="s">
        <v>347</v>
      </c>
      <c r="D45" s="3" t="s">
        <v>348</v>
      </c>
      <c r="E45" s="3" t="s">
        <v>349</v>
      </c>
      <c r="F45" s="3" t="s">
        <v>350</v>
      </c>
      <c r="G45" s="3" t="s">
        <v>68</v>
      </c>
      <c r="H45" s="3" t="s">
        <v>84</v>
      </c>
      <c r="I45" s="3" t="s">
        <v>351</v>
      </c>
      <c r="J45" s="3" t="s">
        <v>352</v>
      </c>
      <c r="K45" s="4">
        <v>1135083847</v>
      </c>
      <c r="L45" s="4">
        <v>10000000000</v>
      </c>
      <c r="M45" s="4">
        <v>0</v>
      </c>
      <c r="N45" s="4">
        <v>0</v>
      </c>
      <c r="O45" s="4">
        <v>11135083847</v>
      </c>
      <c r="P45" s="4">
        <v>169010310</v>
      </c>
      <c r="Q45" s="5">
        <v>45924</v>
      </c>
      <c r="R45" s="5">
        <v>45639</v>
      </c>
      <c r="S45" s="5">
        <v>45638</v>
      </c>
      <c r="T45" s="5">
        <v>45649</v>
      </c>
      <c r="U45" s="4">
        <v>1.72</v>
      </c>
      <c r="V45" s="4">
        <v>1.52</v>
      </c>
      <c r="W45" s="3">
        <v>1</v>
      </c>
      <c r="X45" s="3">
        <v>0.35</v>
      </c>
      <c r="Y45" s="5">
        <v>45637</v>
      </c>
      <c r="Z45" s="5"/>
      <c r="AA45" s="5">
        <v>45806</v>
      </c>
      <c r="AB45" s="5">
        <v>45818</v>
      </c>
      <c r="AC45" s="5">
        <v>46354</v>
      </c>
      <c r="AD45" s="5"/>
      <c r="AE45" s="5">
        <v>46127</v>
      </c>
      <c r="AF45" s="3" t="s">
        <v>353</v>
      </c>
      <c r="AG45" s="3" t="s">
        <v>354</v>
      </c>
      <c r="AH45" s="5">
        <v>46126</v>
      </c>
      <c r="AI45" s="3"/>
      <c r="AJ45" s="3"/>
      <c r="AK45" s="3"/>
      <c r="AL45" s="3">
        <f t="shared" si="7"/>
        <v>0</v>
      </c>
      <c r="AM45" s="3">
        <f t="shared" si="8"/>
        <v>100</v>
      </c>
      <c r="AN45" s="3">
        <f t="shared" si="9"/>
        <v>100</v>
      </c>
      <c r="AO45" s="3">
        <f t="shared" si="10"/>
        <v>100</v>
      </c>
      <c r="AP45" s="3">
        <v>0</v>
      </c>
      <c r="AQ45" s="3"/>
      <c r="AR45" s="3">
        <f t="shared" si="11"/>
        <v>0</v>
      </c>
      <c r="AS45" s="4">
        <v>100</v>
      </c>
      <c r="AT45" s="3">
        <f t="shared" si="12"/>
        <v>100</v>
      </c>
      <c r="AU45" s="7">
        <f t="shared" si="13"/>
        <v>60</v>
      </c>
      <c r="AV45" s="3" t="s">
        <v>355</v>
      </c>
      <c r="AW45" s="22" t="s">
        <v>898</v>
      </c>
    </row>
    <row r="46" spans="1:49" ht="177.75" customHeight="1" x14ac:dyDescent="0.25">
      <c r="A46" s="3" t="s">
        <v>356</v>
      </c>
      <c r="B46" s="3" t="s">
        <v>89</v>
      </c>
      <c r="C46" s="3" t="s">
        <v>357</v>
      </c>
      <c r="D46" s="3" t="s">
        <v>358</v>
      </c>
      <c r="E46" s="3" t="s">
        <v>212</v>
      </c>
      <c r="F46" s="3" t="s">
        <v>359</v>
      </c>
      <c r="G46" s="3" t="s">
        <v>360</v>
      </c>
      <c r="H46" s="3" t="s">
        <v>361</v>
      </c>
      <c r="I46" s="3" t="s">
        <v>159</v>
      </c>
      <c r="J46" s="3" t="s">
        <v>362</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5"/>
      <c r="AD46" s="5"/>
      <c r="AE46" s="5">
        <v>46127</v>
      </c>
      <c r="AF46" s="3" t="s">
        <v>363</v>
      </c>
      <c r="AG46" s="3" t="s">
        <v>364</v>
      </c>
      <c r="AH46" s="5">
        <v>46126</v>
      </c>
      <c r="AI46" s="3"/>
      <c r="AJ46" s="3"/>
      <c r="AK46" s="3">
        <v>300</v>
      </c>
      <c r="AL46" s="3" t="str">
        <f t="shared" si="7"/>
        <v/>
      </c>
      <c r="AM46" s="3" t="str">
        <f t="shared" si="8"/>
        <v/>
      </c>
      <c r="AN46" s="3">
        <f t="shared" si="9"/>
        <v>100</v>
      </c>
      <c r="AO46" s="3" t="str">
        <f t="shared" si="10"/>
        <v/>
      </c>
      <c r="AP46" s="3">
        <v>0</v>
      </c>
      <c r="AQ46" s="3">
        <v>0</v>
      </c>
      <c r="AR46" s="3">
        <f t="shared" si="11"/>
        <v>0</v>
      </c>
      <c r="AS46" s="4">
        <v>100</v>
      </c>
      <c r="AT46" s="3">
        <f t="shared" si="12"/>
        <v>100</v>
      </c>
      <c r="AU46" s="3" t="str">
        <f t="shared" si="13"/>
        <v/>
      </c>
      <c r="AV46" s="3" t="s">
        <v>920</v>
      </c>
      <c r="AW46" s="22" t="s">
        <v>898</v>
      </c>
    </row>
    <row r="47" spans="1:49" ht="69.95" customHeight="1" x14ac:dyDescent="0.25">
      <c r="A47" s="3" t="s">
        <v>365</v>
      </c>
      <c r="B47" s="3" t="s">
        <v>73</v>
      </c>
      <c r="C47" s="3" t="s">
        <v>366</v>
      </c>
      <c r="D47" s="3" t="s">
        <v>367</v>
      </c>
      <c r="E47" s="3" t="s">
        <v>135</v>
      </c>
      <c r="F47" s="3" t="s">
        <v>368</v>
      </c>
      <c r="G47" s="3" t="s">
        <v>68</v>
      </c>
      <c r="H47" s="3" t="s">
        <v>84</v>
      </c>
      <c r="I47" s="3" t="s">
        <v>351</v>
      </c>
      <c r="J47" s="3" t="s">
        <v>95</v>
      </c>
      <c r="K47" s="4">
        <v>2653691597.3099999</v>
      </c>
      <c r="L47" s="4">
        <v>0</v>
      </c>
      <c r="M47" s="4">
        <v>929670814</v>
      </c>
      <c r="N47" s="4">
        <v>0</v>
      </c>
      <c r="O47" s="4">
        <v>3583362411.3099999</v>
      </c>
      <c r="P47" s="4">
        <v>1797652076</v>
      </c>
      <c r="Q47" s="5">
        <v>46112</v>
      </c>
      <c r="R47" s="5">
        <v>45658</v>
      </c>
      <c r="S47" s="5">
        <v>45652</v>
      </c>
      <c r="T47" s="5">
        <v>45653</v>
      </c>
      <c r="U47" s="4">
        <v>76.989999999999995</v>
      </c>
      <c r="V47" s="4">
        <v>67.569999999999993</v>
      </c>
      <c r="W47" s="3">
        <v>1</v>
      </c>
      <c r="X47" s="3">
        <v>1.23</v>
      </c>
      <c r="Y47" s="5">
        <v>45650</v>
      </c>
      <c r="Z47" s="5">
        <v>45798</v>
      </c>
      <c r="AA47" s="5">
        <v>45805</v>
      </c>
      <c r="AB47" s="5">
        <v>45960</v>
      </c>
      <c r="AC47" s="5">
        <v>46139</v>
      </c>
      <c r="AD47" s="5"/>
      <c r="AE47" s="5">
        <v>46127</v>
      </c>
      <c r="AF47" s="3" t="s">
        <v>369</v>
      </c>
      <c r="AG47" s="3" t="s">
        <v>370</v>
      </c>
      <c r="AH47" s="5">
        <v>46126</v>
      </c>
      <c r="AI47" s="3"/>
      <c r="AJ47" s="3"/>
      <c r="AK47" s="3"/>
      <c r="AL47" s="3">
        <f t="shared" si="7"/>
        <v>90</v>
      </c>
      <c r="AM47" s="3">
        <f t="shared" si="8"/>
        <v>100</v>
      </c>
      <c r="AN47" s="3">
        <f t="shared" si="9"/>
        <v>100</v>
      </c>
      <c r="AO47" s="3">
        <f t="shared" si="10"/>
        <v>100</v>
      </c>
      <c r="AP47" s="3">
        <v>1</v>
      </c>
      <c r="AQ47" s="3"/>
      <c r="AR47" s="3">
        <f t="shared" si="11"/>
        <v>0</v>
      </c>
      <c r="AS47" s="4">
        <v>80</v>
      </c>
      <c r="AT47" s="3">
        <f t="shared" si="12"/>
        <v>90</v>
      </c>
      <c r="AU47" s="3">
        <f t="shared" si="13"/>
        <v>86.4</v>
      </c>
      <c r="AV47" s="3" t="s">
        <v>371</v>
      </c>
      <c r="AW47" s="22" t="s">
        <v>898</v>
      </c>
    </row>
    <row r="48" spans="1:49" ht="154.5" customHeight="1" x14ac:dyDescent="0.25">
      <c r="A48" s="3">
        <v>2025000020006</v>
      </c>
      <c r="B48" s="3" t="s">
        <v>89</v>
      </c>
      <c r="C48" s="3" t="s">
        <v>372</v>
      </c>
      <c r="D48" s="3"/>
      <c r="E48" s="3" t="s">
        <v>92</v>
      </c>
      <c r="F48" s="3"/>
      <c r="G48" s="3" t="s">
        <v>336</v>
      </c>
      <c r="H48" s="3"/>
      <c r="I48" s="3"/>
      <c r="J48" s="3" t="s">
        <v>165</v>
      </c>
      <c r="K48" s="10">
        <v>39069417997</v>
      </c>
      <c r="L48" s="4">
        <v>0</v>
      </c>
      <c r="M48" s="4">
        <v>0</v>
      </c>
      <c r="N48" s="4">
        <v>0</v>
      </c>
      <c r="O48" s="4">
        <v>39069417997</v>
      </c>
      <c r="P48" s="4">
        <v>0</v>
      </c>
      <c r="Q48" s="5"/>
      <c r="R48" s="5"/>
      <c r="S48" s="5">
        <v>46094</v>
      </c>
      <c r="T48" s="5">
        <v>46125</v>
      </c>
      <c r="U48" s="4">
        <v>0</v>
      </c>
      <c r="V48" s="4">
        <v>0</v>
      </c>
      <c r="W48" s="3"/>
      <c r="X48" s="3"/>
      <c r="Y48" s="5">
        <v>46093</v>
      </c>
      <c r="Z48" s="5"/>
      <c r="AA48" s="5"/>
      <c r="AB48" s="5"/>
      <c r="AC48" s="5"/>
      <c r="AD48" s="5"/>
      <c r="AE48" s="5">
        <v>46127</v>
      </c>
      <c r="AF48" s="3"/>
      <c r="AG48" s="3"/>
      <c r="AH48" s="5"/>
      <c r="AI48" s="3">
        <v>34</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13"/>
        <v/>
      </c>
      <c r="AV48" s="3" t="s">
        <v>914</v>
      </c>
      <c r="AW48" s="22" t="s">
        <v>896</v>
      </c>
    </row>
    <row r="49" spans="1:49" ht="69.95" customHeight="1" x14ac:dyDescent="0.25">
      <c r="A49" s="3" t="s">
        <v>373</v>
      </c>
      <c r="B49" s="3" t="s">
        <v>52</v>
      </c>
      <c r="C49" s="11" t="s">
        <v>374</v>
      </c>
      <c r="D49" s="3" t="s">
        <v>375</v>
      </c>
      <c r="E49" s="3" t="s">
        <v>283</v>
      </c>
      <c r="F49" s="3" t="s">
        <v>376</v>
      </c>
      <c r="G49" s="3" t="s">
        <v>68</v>
      </c>
      <c r="H49" s="3" t="s">
        <v>361</v>
      </c>
      <c r="I49" s="3" t="s">
        <v>159</v>
      </c>
      <c r="J49" s="3" t="s">
        <v>377</v>
      </c>
      <c r="K49" s="4">
        <v>15884181916</v>
      </c>
      <c r="L49" s="4">
        <v>0</v>
      </c>
      <c r="M49" s="4">
        <v>0</v>
      </c>
      <c r="N49" s="4">
        <v>0</v>
      </c>
      <c r="O49" s="4">
        <v>15884181916</v>
      </c>
      <c r="P49" s="4">
        <v>6484823040.0600004</v>
      </c>
      <c r="Q49" s="5">
        <v>46017</v>
      </c>
      <c r="R49" s="5">
        <v>45893</v>
      </c>
      <c r="S49" s="5">
        <v>45889</v>
      </c>
      <c r="T49" s="5">
        <v>45903</v>
      </c>
      <c r="U49" s="4">
        <v>40.32</v>
      </c>
      <c r="V49" s="4">
        <v>40.83</v>
      </c>
      <c r="W49" s="3"/>
      <c r="X49" s="3"/>
      <c r="Y49" s="5">
        <v>45888</v>
      </c>
      <c r="Z49" s="5">
        <v>45905</v>
      </c>
      <c r="AA49" s="5">
        <v>45929</v>
      </c>
      <c r="AB49" s="5">
        <v>45931</v>
      </c>
      <c r="AC49" s="5">
        <v>46021</v>
      </c>
      <c r="AD49" s="5"/>
      <c r="AE49" s="5">
        <v>46127</v>
      </c>
      <c r="AF49" s="3" t="s">
        <v>378</v>
      </c>
      <c r="AG49" s="3" t="s">
        <v>379</v>
      </c>
      <c r="AH49" s="5">
        <v>46127</v>
      </c>
      <c r="AI49" s="3"/>
      <c r="AJ49" s="3"/>
      <c r="AK49" s="3"/>
      <c r="AL49" s="3">
        <f t="shared" si="7"/>
        <v>0</v>
      </c>
      <c r="AM49" s="3">
        <f t="shared" si="8"/>
        <v>0</v>
      </c>
      <c r="AN49" s="3">
        <f t="shared" si="9"/>
        <v>100</v>
      </c>
      <c r="AO49" s="3">
        <f t="shared" si="10"/>
        <v>100</v>
      </c>
      <c r="AP49" s="3">
        <v>0</v>
      </c>
      <c r="AQ49" s="3"/>
      <c r="AR49" s="3">
        <f t="shared" si="11"/>
        <v>0</v>
      </c>
      <c r="AS49" s="4">
        <v>100</v>
      </c>
      <c r="AT49" s="3">
        <f t="shared" si="12"/>
        <v>100</v>
      </c>
      <c r="AU49" s="3">
        <f t="shared" si="13"/>
        <v>40</v>
      </c>
      <c r="AV49" s="3" t="s">
        <v>380</v>
      </c>
      <c r="AW49" s="22" t="s">
        <v>896</v>
      </c>
    </row>
    <row r="50" spans="1:49" ht="69.95" customHeight="1" x14ac:dyDescent="0.25">
      <c r="A50" s="3" t="s">
        <v>381</v>
      </c>
      <c r="B50" s="3" t="s">
        <v>89</v>
      </c>
      <c r="C50" s="3" t="s">
        <v>382</v>
      </c>
      <c r="D50" s="3" t="s">
        <v>383</v>
      </c>
      <c r="E50" s="3" t="s">
        <v>92</v>
      </c>
      <c r="F50" s="3" t="s">
        <v>384</v>
      </c>
      <c r="G50" s="3" t="s">
        <v>68</v>
      </c>
      <c r="H50" s="3" t="s">
        <v>84</v>
      </c>
      <c r="I50" s="3" t="s">
        <v>351</v>
      </c>
      <c r="J50" s="3" t="s">
        <v>165</v>
      </c>
      <c r="K50" s="4">
        <v>79715601771.679993</v>
      </c>
      <c r="L50" s="4">
        <v>0</v>
      </c>
      <c r="M50" s="4">
        <v>0</v>
      </c>
      <c r="N50" s="4">
        <v>0</v>
      </c>
      <c r="O50" s="4">
        <v>79715601771.679993</v>
      </c>
      <c r="P50" s="4">
        <v>21675580598.400002</v>
      </c>
      <c r="Q50" s="5">
        <v>46086</v>
      </c>
      <c r="R50" s="5">
        <v>45939</v>
      </c>
      <c r="S50" s="5">
        <v>45934</v>
      </c>
      <c r="T50" s="5">
        <v>45961</v>
      </c>
      <c r="U50" s="4">
        <v>1.1599999999999999</v>
      </c>
      <c r="V50" s="4">
        <v>27.19</v>
      </c>
      <c r="W50" s="3">
        <v>1</v>
      </c>
      <c r="X50" s="3">
        <v>1</v>
      </c>
      <c r="Y50" s="5">
        <v>45933</v>
      </c>
      <c r="Z50" s="5"/>
      <c r="AA50" s="5">
        <v>46058</v>
      </c>
      <c r="AB50" s="5">
        <v>46064</v>
      </c>
      <c r="AC50" s="5">
        <v>46798</v>
      </c>
      <c r="AD50" s="5"/>
      <c r="AE50" s="5">
        <v>46127</v>
      </c>
      <c r="AF50" s="3" t="s">
        <v>385</v>
      </c>
      <c r="AG50" s="3" t="s">
        <v>386</v>
      </c>
      <c r="AH50" s="5">
        <v>46126</v>
      </c>
      <c r="AI50" s="3"/>
      <c r="AJ50" s="3"/>
      <c r="AK50" s="3"/>
      <c r="AL50" s="3">
        <f t="shared" si="7"/>
        <v>100</v>
      </c>
      <c r="AM50" s="3">
        <f t="shared" si="8"/>
        <v>100</v>
      </c>
      <c r="AN50" s="3">
        <f t="shared" si="9"/>
        <v>100</v>
      </c>
      <c r="AO50" s="3">
        <f t="shared" si="10"/>
        <v>100</v>
      </c>
      <c r="AP50" s="3">
        <v>0</v>
      </c>
      <c r="AQ50" s="3"/>
      <c r="AR50" s="3">
        <f t="shared" si="11"/>
        <v>0</v>
      </c>
      <c r="AS50" s="4">
        <v>100</v>
      </c>
      <c r="AT50" s="3">
        <f t="shared" si="12"/>
        <v>100</v>
      </c>
      <c r="AU50" s="7">
        <f t="shared" si="13"/>
        <v>100</v>
      </c>
      <c r="AV50" s="3" t="s">
        <v>387</v>
      </c>
      <c r="AW50" s="22" t="s">
        <v>902</v>
      </c>
    </row>
    <row r="51" spans="1:49" ht="69.95" customHeight="1" x14ac:dyDescent="0.25">
      <c r="A51" s="12" t="s">
        <v>388</v>
      </c>
      <c r="B51" s="12" t="s">
        <v>89</v>
      </c>
      <c r="C51" s="12" t="s">
        <v>389</v>
      </c>
      <c r="D51" s="3" t="s">
        <v>390</v>
      </c>
      <c r="E51" s="3" t="s">
        <v>278</v>
      </c>
      <c r="F51" s="3" t="s">
        <v>317</v>
      </c>
      <c r="G51" s="3" t="s">
        <v>68</v>
      </c>
      <c r="H51" s="3" t="s">
        <v>84</v>
      </c>
      <c r="I51" s="3" t="s">
        <v>59</v>
      </c>
      <c r="J51" s="3" t="s">
        <v>95</v>
      </c>
      <c r="K51" s="4">
        <v>1000000435</v>
      </c>
      <c r="L51" s="4">
        <v>0</v>
      </c>
      <c r="M51" s="4">
        <v>0</v>
      </c>
      <c r="N51" s="4">
        <v>0</v>
      </c>
      <c r="O51" s="4">
        <v>1000000435</v>
      </c>
      <c r="P51" s="4">
        <v>300000130.5</v>
      </c>
      <c r="Q51" s="5">
        <v>46020</v>
      </c>
      <c r="R51" s="5">
        <v>45918</v>
      </c>
      <c r="S51" s="5">
        <v>45918</v>
      </c>
      <c r="T51" s="5">
        <v>45918</v>
      </c>
      <c r="U51" s="4">
        <v>54.06</v>
      </c>
      <c r="V51" s="4">
        <v>30</v>
      </c>
      <c r="W51" s="3">
        <v>1</v>
      </c>
      <c r="X51" s="3">
        <v>1</v>
      </c>
      <c r="Y51" s="5">
        <v>45912</v>
      </c>
      <c r="Z51" s="5">
        <v>45981</v>
      </c>
      <c r="AA51" s="5">
        <v>46008</v>
      </c>
      <c r="AB51" s="5">
        <v>46009</v>
      </c>
      <c r="AC51" s="5">
        <v>46191</v>
      </c>
      <c r="AD51" s="5"/>
      <c r="AE51" s="5">
        <v>46127</v>
      </c>
      <c r="AF51" s="3" t="s">
        <v>391</v>
      </c>
      <c r="AG51" s="3" t="s">
        <v>392</v>
      </c>
      <c r="AH51" s="5">
        <v>46122</v>
      </c>
      <c r="AI51" s="3"/>
      <c r="AJ51" s="3"/>
      <c r="AK51" s="3"/>
      <c r="AL51" s="3">
        <f t="shared" si="7"/>
        <v>100</v>
      </c>
      <c r="AM51" s="3">
        <f t="shared" si="8"/>
        <v>100</v>
      </c>
      <c r="AN51" s="3">
        <f t="shared" si="9"/>
        <v>100</v>
      </c>
      <c r="AO51" s="3">
        <f t="shared" si="10"/>
        <v>100</v>
      </c>
      <c r="AP51" s="3">
        <v>0</v>
      </c>
      <c r="AQ51" s="3"/>
      <c r="AR51" s="3">
        <f t="shared" si="11"/>
        <v>100</v>
      </c>
      <c r="AS51" s="4">
        <v>100</v>
      </c>
      <c r="AT51" s="3">
        <f t="shared" si="12"/>
        <v>100</v>
      </c>
      <c r="AU51" s="7">
        <f t="shared" si="13"/>
        <v>100</v>
      </c>
      <c r="AV51" s="3" t="s">
        <v>387</v>
      </c>
      <c r="AW51" s="22" t="s">
        <v>902</v>
      </c>
    </row>
    <row r="52" spans="1:49" ht="249" customHeight="1" x14ac:dyDescent="0.25">
      <c r="A52" s="12" t="s">
        <v>393</v>
      </c>
      <c r="B52" s="9" t="s">
        <v>89</v>
      </c>
      <c r="C52" s="9" t="s">
        <v>394</v>
      </c>
      <c r="D52" s="3" t="s">
        <v>395</v>
      </c>
      <c r="E52" s="3" t="s">
        <v>283</v>
      </c>
      <c r="F52" s="3" t="s">
        <v>396</v>
      </c>
      <c r="G52" s="3" t="s">
        <v>336</v>
      </c>
      <c r="H52" s="3"/>
      <c r="I52" s="3"/>
      <c r="J52" s="3" t="s">
        <v>303</v>
      </c>
      <c r="K52" s="10">
        <v>910271851.27999997</v>
      </c>
      <c r="L52" s="4">
        <v>0</v>
      </c>
      <c r="M52" s="4">
        <v>0</v>
      </c>
      <c r="N52" s="4">
        <v>0</v>
      </c>
      <c r="O52" s="4">
        <v>910271851.27999997</v>
      </c>
      <c r="P52" s="4">
        <v>0</v>
      </c>
      <c r="Q52" s="5"/>
      <c r="R52" s="5">
        <v>46002</v>
      </c>
      <c r="S52" s="5">
        <v>46009</v>
      </c>
      <c r="T52" s="5">
        <v>46009</v>
      </c>
      <c r="U52" s="4">
        <v>0</v>
      </c>
      <c r="V52" s="4">
        <v>0</v>
      </c>
      <c r="W52" s="3"/>
      <c r="X52" s="3"/>
      <c r="Y52" s="5">
        <v>46000</v>
      </c>
      <c r="Z52" s="5">
        <v>46079</v>
      </c>
      <c r="AA52" s="5"/>
      <c r="AB52" s="5"/>
      <c r="AC52" s="5"/>
      <c r="AD52" s="5"/>
      <c r="AE52" s="5">
        <v>46127</v>
      </c>
      <c r="AF52" s="3" t="s">
        <v>397</v>
      </c>
      <c r="AG52" s="3" t="s">
        <v>398</v>
      </c>
      <c r="AH52" s="5">
        <v>46126</v>
      </c>
      <c r="AI52" s="3">
        <v>127</v>
      </c>
      <c r="AJ52" s="3"/>
      <c r="AK52" s="3"/>
      <c r="AL52" s="3" t="str">
        <f t="shared" si="7"/>
        <v/>
      </c>
      <c r="AM52" s="3" t="str">
        <f t="shared" si="8"/>
        <v/>
      </c>
      <c r="AN52" s="3">
        <f t="shared" si="9"/>
        <v>100</v>
      </c>
      <c r="AO52" s="3" t="str">
        <f t="shared" si="10"/>
        <v/>
      </c>
      <c r="AP52" s="3">
        <v>0</v>
      </c>
      <c r="AQ52" s="3">
        <v>100</v>
      </c>
      <c r="AR52" s="3">
        <f t="shared" si="11"/>
        <v>0</v>
      </c>
      <c r="AS52" s="4">
        <v>100</v>
      </c>
      <c r="AT52" s="3">
        <f t="shared" si="12"/>
        <v>100</v>
      </c>
      <c r="AU52" s="3" t="str">
        <f t="shared" si="13"/>
        <v/>
      </c>
      <c r="AV52" s="30" t="s">
        <v>915</v>
      </c>
      <c r="AW52" s="22" t="s">
        <v>902</v>
      </c>
    </row>
    <row r="53" spans="1:49" ht="120" customHeight="1" x14ac:dyDescent="0.25">
      <c r="A53" s="12" t="s">
        <v>399</v>
      </c>
      <c r="B53" s="9" t="s">
        <v>89</v>
      </c>
      <c r="C53" s="9" t="s">
        <v>400</v>
      </c>
      <c r="D53" s="3" t="s">
        <v>401</v>
      </c>
      <c r="E53" s="3" t="s">
        <v>92</v>
      </c>
      <c r="F53" s="3" t="s">
        <v>402</v>
      </c>
      <c r="G53" s="3" t="s">
        <v>336</v>
      </c>
      <c r="H53" s="3"/>
      <c r="I53" s="3"/>
      <c r="J53" s="3" t="s">
        <v>215</v>
      </c>
      <c r="K53" s="10">
        <v>9230360486</v>
      </c>
      <c r="L53" s="4">
        <v>0</v>
      </c>
      <c r="M53" s="4">
        <v>0</v>
      </c>
      <c r="N53" s="4">
        <v>0</v>
      </c>
      <c r="O53" s="4">
        <v>9230360486</v>
      </c>
      <c r="P53" s="4">
        <v>0</v>
      </c>
      <c r="Q53" s="5"/>
      <c r="R53" s="5"/>
      <c r="S53" s="5">
        <v>46083</v>
      </c>
      <c r="T53" s="5">
        <v>46084</v>
      </c>
      <c r="U53" s="4">
        <v>0</v>
      </c>
      <c r="V53" s="4">
        <v>0</v>
      </c>
      <c r="W53" s="3"/>
      <c r="X53" s="3"/>
      <c r="Y53" s="5">
        <v>46080</v>
      </c>
      <c r="Z53" s="5"/>
      <c r="AA53" s="5"/>
      <c r="AB53" s="5"/>
      <c r="AC53" s="5"/>
      <c r="AD53" s="5"/>
      <c r="AE53" s="5">
        <v>46127</v>
      </c>
      <c r="AF53" s="3"/>
      <c r="AG53" s="3"/>
      <c r="AH53" s="5"/>
      <c r="AI53" s="3">
        <v>47</v>
      </c>
      <c r="AJ53" s="3"/>
      <c r="AK53" s="3"/>
      <c r="AL53" s="3" t="str">
        <f t="shared" si="7"/>
        <v/>
      </c>
      <c r="AM53" s="3" t="str">
        <f t="shared" si="8"/>
        <v/>
      </c>
      <c r="AN53" s="3">
        <f t="shared" si="9"/>
        <v>100</v>
      </c>
      <c r="AO53" s="3" t="str">
        <f t="shared" si="10"/>
        <v/>
      </c>
      <c r="AP53" s="3">
        <v>0</v>
      </c>
      <c r="AQ53" s="3">
        <v>100</v>
      </c>
      <c r="AR53" s="3" t="str">
        <f t="shared" si="11"/>
        <v/>
      </c>
      <c r="AS53" s="4"/>
      <c r="AT53" s="3">
        <f t="shared" si="12"/>
        <v>100</v>
      </c>
      <c r="AU53" s="3" t="str">
        <f t="shared" si="13"/>
        <v/>
      </c>
      <c r="AV53" s="3" t="s">
        <v>916</v>
      </c>
      <c r="AW53" s="22" t="s">
        <v>896</v>
      </c>
    </row>
    <row r="54" spans="1:49" ht="179.25" customHeight="1" x14ac:dyDescent="0.25">
      <c r="A54" s="12" t="s">
        <v>403</v>
      </c>
      <c r="B54" s="12" t="s">
        <v>267</v>
      </c>
      <c r="C54" s="12" t="s">
        <v>404</v>
      </c>
      <c r="D54" s="3" t="s">
        <v>405</v>
      </c>
      <c r="E54" s="3" t="s">
        <v>270</v>
      </c>
      <c r="F54" s="3" t="s">
        <v>406</v>
      </c>
      <c r="G54" s="3" t="s">
        <v>360</v>
      </c>
      <c r="H54" s="3" t="s">
        <v>361</v>
      </c>
      <c r="I54" s="3" t="s">
        <v>351</v>
      </c>
      <c r="J54" s="3" t="s">
        <v>95</v>
      </c>
      <c r="K54" s="4">
        <v>1265672010</v>
      </c>
      <c r="L54" s="4">
        <v>0</v>
      </c>
      <c r="M54" s="4">
        <v>0</v>
      </c>
      <c r="N54" s="4">
        <v>0</v>
      </c>
      <c r="O54" s="4">
        <v>1265672010</v>
      </c>
      <c r="P54" s="4">
        <v>0</v>
      </c>
      <c r="Q54" s="5"/>
      <c r="R54" s="5">
        <v>45973</v>
      </c>
      <c r="S54" s="5">
        <v>45979</v>
      </c>
      <c r="T54" s="5">
        <v>45975</v>
      </c>
      <c r="U54" s="4">
        <v>0</v>
      </c>
      <c r="V54" s="4">
        <v>0</v>
      </c>
      <c r="W54" s="3"/>
      <c r="X54" s="3"/>
      <c r="Y54" s="5">
        <v>45967</v>
      </c>
      <c r="Z54" s="5">
        <v>46076</v>
      </c>
      <c r="AA54" s="5">
        <v>46108</v>
      </c>
      <c r="AB54" s="5"/>
      <c r="AC54" s="5"/>
      <c r="AD54" s="5"/>
      <c r="AE54" s="5">
        <v>46127</v>
      </c>
      <c r="AF54" s="3" t="s">
        <v>407</v>
      </c>
      <c r="AG54" s="3" t="s">
        <v>408</v>
      </c>
      <c r="AH54" s="5">
        <v>46122</v>
      </c>
      <c r="AI54" s="3"/>
      <c r="AJ54" s="3"/>
      <c r="AK54" s="3">
        <v>19</v>
      </c>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13"/>
        <v/>
      </c>
      <c r="AV54" s="3" t="s">
        <v>922</v>
      </c>
      <c r="AW54" s="22" t="s">
        <v>902</v>
      </c>
    </row>
    <row r="55" spans="1:49" ht="254.25" customHeight="1" x14ac:dyDescent="0.25">
      <c r="A55" s="12" t="s">
        <v>409</v>
      </c>
      <c r="B55" s="12" t="s">
        <v>267</v>
      </c>
      <c r="C55" s="12" t="s">
        <v>410</v>
      </c>
      <c r="D55" s="3" t="s">
        <v>411</v>
      </c>
      <c r="E55" s="3" t="s">
        <v>270</v>
      </c>
      <c r="F55" s="3" t="s">
        <v>412</v>
      </c>
      <c r="G55" s="3" t="s">
        <v>360</v>
      </c>
      <c r="H55" s="3" t="s">
        <v>361</v>
      </c>
      <c r="I55" s="3" t="s">
        <v>351</v>
      </c>
      <c r="J55" s="3" t="s">
        <v>413</v>
      </c>
      <c r="K55" s="4">
        <v>1631281390</v>
      </c>
      <c r="L55" s="4">
        <v>0</v>
      </c>
      <c r="M55" s="4">
        <v>41120776</v>
      </c>
      <c r="N55" s="4">
        <v>0</v>
      </c>
      <c r="O55" s="4">
        <v>1672402166</v>
      </c>
      <c r="P55" s="4">
        <v>0</v>
      </c>
      <c r="Q55" s="5"/>
      <c r="R55" s="5">
        <v>45971</v>
      </c>
      <c r="S55" s="5">
        <v>46009</v>
      </c>
      <c r="T55" s="5">
        <v>45975</v>
      </c>
      <c r="U55" s="4">
        <v>0</v>
      </c>
      <c r="V55" s="4">
        <v>0</v>
      </c>
      <c r="W55" s="3"/>
      <c r="X55" s="3"/>
      <c r="Y55" s="5">
        <v>45957</v>
      </c>
      <c r="Z55" s="5">
        <v>46051</v>
      </c>
      <c r="AA55" s="5">
        <v>46057</v>
      </c>
      <c r="AB55" s="5"/>
      <c r="AC55" s="5"/>
      <c r="AD55" s="5"/>
      <c r="AE55" s="5">
        <v>46127</v>
      </c>
      <c r="AF55" s="3" t="s">
        <v>414</v>
      </c>
      <c r="AG55" s="3" t="s">
        <v>415</v>
      </c>
      <c r="AH55" s="5">
        <v>46122</v>
      </c>
      <c r="AI55" s="3"/>
      <c r="AJ55" s="3"/>
      <c r="AK55" s="3">
        <v>70</v>
      </c>
      <c r="AL55" s="3" t="str">
        <f t="shared" si="7"/>
        <v/>
      </c>
      <c r="AM55" s="3" t="str">
        <f t="shared" si="8"/>
        <v/>
      </c>
      <c r="AN55" s="3">
        <f t="shared" si="9"/>
        <v>100</v>
      </c>
      <c r="AO55" s="3" t="str">
        <f t="shared" si="10"/>
        <v/>
      </c>
      <c r="AP55" s="3">
        <v>0</v>
      </c>
      <c r="AQ55" s="3">
        <v>0</v>
      </c>
      <c r="AR55" s="3">
        <f t="shared" si="11"/>
        <v>100</v>
      </c>
      <c r="AS55" s="4">
        <v>50</v>
      </c>
      <c r="AT55" s="3">
        <f t="shared" si="12"/>
        <v>100</v>
      </c>
      <c r="AU55" s="3" t="str">
        <f t="shared" si="13"/>
        <v/>
      </c>
      <c r="AV55" s="30" t="s">
        <v>921</v>
      </c>
      <c r="AW55" s="22" t="s">
        <v>902</v>
      </c>
    </row>
    <row r="56" spans="1:49" ht="244.5" customHeight="1" x14ac:dyDescent="0.25">
      <c r="A56" s="12" t="s">
        <v>416</v>
      </c>
      <c r="B56" s="9" t="s">
        <v>89</v>
      </c>
      <c r="C56" s="9" t="s">
        <v>417</v>
      </c>
      <c r="D56" s="3" t="s">
        <v>418</v>
      </c>
      <c r="E56" s="3" t="s">
        <v>283</v>
      </c>
      <c r="F56" s="3" t="s">
        <v>419</v>
      </c>
      <c r="G56" s="3" t="s">
        <v>336</v>
      </c>
      <c r="H56" s="3"/>
      <c r="I56" s="3"/>
      <c r="J56" s="3" t="s">
        <v>420</v>
      </c>
      <c r="K56" s="10">
        <v>2998247290</v>
      </c>
      <c r="L56" s="4">
        <v>0</v>
      </c>
      <c r="M56" s="4">
        <v>0</v>
      </c>
      <c r="N56" s="4">
        <v>0</v>
      </c>
      <c r="O56" s="4">
        <v>2998247290</v>
      </c>
      <c r="P56" s="4">
        <v>0</v>
      </c>
      <c r="Q56" s="5"/>
      <c r="R56" s="5">
        <v>45985</v>
      </c>
      <c r="S56" s="5">
        <v>45983</v>
      </c>
      <c r="T56" s="5">
        <v>45995</v>
      </c>
      <c r="U56" s="4">
        <v>0</v>
      </c>
      <c r="V56" s="4">
        <v>0</v>
      </c>
      <c r="W56" s="3"/>
      <c r="X56" s="3"/>
      <c r="Y56" s="5">
        <v>45980</v>
      </c>
      <c r="Z56" s="5">
        <v>46120</v>
      </c>
      <c r="AA56" s="5"/>
      <c r="AB56" s="5"/>
      <c r="AC56" s="5"/>
      <c r="AD56" s="5"/>
      <c r="AE56" s="5">
        <v>46127</v>
      </c>
      <c r="AF56" s="3" t="s">
        <v>397</v>
      </c>
      <c r="AG56" s="3" t="s">
        <v>421</v>
      </c>
      <c r="AH56" s="5">
        <v>46126</v>
      </c>
      <c r="AI56" s="3">
        <v>147</v>
      </c>
      <c r="AJ56" s="3"/>
      <c r="AK56" s="3"/>
      <c r="AL56" s="3" t="str">
        <f t="shared" si="7"/>
        <v/>
      </c>
      <c r="AM56" s="3" t="str">
        <f t="shared" si="8"/>
        <v/>
      </c>
      <c r="AN56" s="3">
        <f t="shared" si="9"/>
        <v>100</v>
      </c>
      <c r="AO56" s="3" t="str">
        <f t="shared" si="10"/>
        <v/>
      </c>
      <c r="AP56" s="3">
        <v>0</v>
      </c>
      <c r="AQ56" s="3">
        <v>100</v>
      </c>
      <c r="AR56" s="3">
        <f t="shared" si="11"/>
        <v>0</v>
      </c>
      <c r="AS56" s="4">
        <v>100</v>
      </c>
      <c r="AT56" s="3">
        <f t="shared" si="12"/>
        <v>100</v>
      </c>
      <c r="AU56" s="3" t="str">
        <f t="shared" si="13"/>
        <v/>
      </c>
      <c r="AV56" s="3" t="s">
        <v>917</v>
      </c>
      <c r="AW56" s="22" t="s">
        <v>902</v>
      </c>
    </row>
    <row r="57" spans="1:49" ht="143.25" customHeight="1" x14ac:dyDescent="0.25">
      <c r="A57" s="12" t="s">
        <v>422</v>
      </c>
      <c r="B57" s="9" t="s">
        <v>89</v>
      </c>
      <c r="C57" s="9" t="s">
        <v>423</v>
      </c>
      <c r="D57" s="3" t="s">
        <v>424</v>
      </c>
      <c r="E57" s="3" t="s">
        <v>212</v>
      </c>
      <c r="F57" s="3" t="s">
        <v>425</v>
      </c>
      <c r="G57" s="3" t="s">
        <v>336</v>
      </c>
      <c r="H57" s="3"/>
      <c r="I57" s="3"/>
      <c r="J57" s="3" t="s">
        <v>420</v>
      </c>
      <c r="K57" s="10">
        <v>4190286255</v>
      </c>
      <c r="L57" s="4">
        <v>0</v>
      </c>
      <c r="M57" s="4">
        <v>0</v>
      </c>
      <c r="N57" s="4">
        <v>0</v>
      </c>
      <c r="O57" s="4">
        <v>4190286255</v>
      </c>
      <c r="P57" s="4">
        <v>0</v>
      </c>
      <c r="Q57" s="5"/>
      <c r="R57" s="5">
        <v>0</v>
      </c>
      <c r="S57" s="5"/>
      <c r="T57" s="5">
        <v>46017</v>
      </c>
      <c r="U57" s="4">
        <v>0</v>
      </c>
      <c r="V57" s="4">
        <v>0</v>
      </c>
      <c r="W57" s="3"/>
      <c r="X57" s="3"/>
      <c r="Y57" s="5">
        <v>46010</v>
      </c>
      <c r="Z57" s="5">
        <v>46066</v>
      </c>
      <c r="AA57" s="5"/>
      <c r="AB57" s="5"/>
      <c r="AC57" s="5"/>
      <c r="AD57" s="5"/>
      <c r="AE57" s="5">
        <v>46127</v>
      </c>
      <c r="AF57" s="3" t="s">
        <v>426</v>
      </c>
      <c r="AG57" s="3"/>
      <c r="AH57" s="5">
        <v>46127</v>
      </c>
      <c r="AI57" s="3">
        <v>117</v>
      </c>
      <c r="AJ57" s="3"/>
      <c r="AK57" s="3"/>
      <c r="AL57" s="3" t="str">
        <f t="shared" si="7"/>
        <v/>
      </c>
      <c r="AM57" s="3" t="str">
        <f t="shared" si="8"/>
        <v/>
      </c>
      <c r="AN57" s="3">
        <f t="shared" si="9"/>
        <v>100</v>
      </c>
      <c r="AO57" s="3" t="str">
        <f t="shared" si="10"/>
        <v/>
      </c>
      <c r="AP57" s="3">
        <v>0</v>
      </c>
      <c r="AQ57" s="3">
        <v>100</v>
      </c>
      <c r="AR57" s="3">
        <f t="shared" si="11"/>
        <v>0</v>
      </c>
      <c r="AS57" s="4">
        <v>100</v>
      </c>
      <c r="AT57" s="3">
        <f t="shared" si="12"/>
        <v>100</v>
      </c>
      <c r="AU57" s="3" t="str">
        <f t="shared" si="13"/>
        <v/>
      </c>
      <c r="AV57" s="3" t="s">
        <v>918</v>
      </c>
      <c r="AW57" s="22" t="s">
        <v>897</v>
      </c>
    </row>
    <row r="58" spans="1:49" ht="97.5" customHeight="1" x14ac:dyDescent="0.25">
      <c r="A58" s="25">
        <v>2026002700001</v>
      </c>
      <c r="B58" s="9" t="s">
        <v>89</v>
      </c>
      <c r="C58" s="9" t="s">
        <v>427</v>
      </c>
      <c r="D58" s="3" t="s">
        <v>428</v>
      </c>
      <c r="E58" s="3" t="s">
        <v>92</v>
      </c>
      <c r="F58" s="3" t="s">
        <v>429</v>
      </c>
      <c r="G58" s="3" t="s">
        <v>336</v>
      </c>
      <c r="H58" s="3"/>
      <c r="I58" s="3"/>
      <c r="J58" s="3" t="s">
        <v>430</v>
      </c>
      <c r="K58" s="10">
        <v>15410127474</v>
      </c>
      <c r="L58" s="4">
        <v>0</v>
      </c>
      <c r="M58" s="4">
        <v>0</v>
      </c>
      <c r="N58" s="4">
        <v>0</v>
      </c>
      <c r="O58" s="4">
        <v>15410127474</v>
      </c>
      <c r="P58" s="4">
        <v>0</v>
      </c>
      <c r="Q58" s="5"/>
      <c r="R58" s="5"/>
      <c r="S58" s="5"/>
      <c r="T58" s="5">
        <v>46084</v>
      </c>
      <c r="U58" s="4">
        <v>0</v>
      </c>
      <c r="V58" s="4">
        <v>0</v>
      </c>
      <c r="W58" s="3"/>
      <c r="X58" s="3"/>
      <c r="Y58" s="5">
        <v>46080</v>
      </c>
      <c r="Z58" s="5"/>
      <c r="AA58" s="5"/>
      <c r="AB58" s="5"/>
      <c r="AC58" s="5"/>
      <c r="AD58" s="5"/>
      <c r="AE58" s="5">
        <v>46127</v>
      </c>
      <c r="AF58" s="3"/>
      <c r="AG58" s="3"/>
      <c r="AH58" s="5"/>
      <c r="AI58" s="3">
        <v>47</v>
      </c>
      <c r="AJ58" s="3"/>
      <c r="AK58" s="3"/>
      <c r="AL58" s="3" t="str">
        <f t="shared" si="7"/>
        <v/>
      </c>
      <c r="AM58" s="3" t="str">
        <f t="shared" si="8"/>
        <v/>
      </c>
      <c r="AN58" s="3">
        <f t="shared" si="9"/>
        <v>100</v>
      </c>
      <c r="AO58" s="3" t="str">
        <f t="shared" si="10"/>
        <v/>
      </c>
      <c r="AP58" s="3">
        <v>0</v>
      </c>
      <c r="AQ58" s="3">
        <v>100</v>
      </c>
      <c r="AR58" s="3" t="str">
        <f t="shared" si="11"/>
        <v/>
      </c>
      <c r="AS58" s="4"/>
      <c r="AT58" s="3">
        <f t="shared" si="12"/>
        <v>100</v>
      </c>
      <c r="AU58" s="3" t="str">
        <f t="shared" si="13"/>
        <v/>
      </c>
      <c r="AV58" s="3" t="s">
        <v>919</v>
      </c>
      <c r="AW58" s="22" t="s">
        <v>896</v>
      </c>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opLeftCell="F2" workbookViewId="0">
      <selection activeCell="N2" sqref="N2"/>
    </sheetView>
  </sheetViews>
  <sheetFormatPr baseColWidth="10" defaultColWidth="9.140625" defaultRowHeight="15" x14ac:dyDescent="0.25"/>
  <cols>
    <col min="1" max="2" width="25.7109375" customWidth="1"/>
    <col min="3" max="3" width="36.7109375" customWidth="1"/>
    <col min="4" max="4" width="37.28515625" customWidth="1"/>
    <col min="5" max="29" width="25.7109375" customWidth="1"/>
    <col min="30" max="30" width="25.7109375" hidden="1" customWidth="1"/>
    <col min="31" max="35" width="25.7109375" customWidth="1"/>
    <col min="36" max="36" width="25.7109375" hidden="1" customWidth="1"/>
    <col min="37" max="38" width="25.7109375" customWidth="1"/>
  </cols>
  <sheetData>
    <row r="1" spans="1:38" ht="39.950000000000003" customHeight="1" x14ac:dyDescent="0.25">
      <c r="A1" s="31" t="s">
        <v>0</v>
      </c>
      <c r="B1" s="31"/>
      <c r="C1" s="31"/>
      <c r="D1" s="31"/>
      <c r="E1" s="31"/>
      <c r="F1" s="31"/>
      <c r="G1" s="31"/>
      <c r="H1" s="31"/>
      <c r="I1" s="31"/>
      <c r="J1" s="31"/>
      <c r="K1" s="31"/>
      <c r="L1" s="31"/>
      <c r="M1" s="31"/>
      <c r="N1" s="31"/>
      <c r="O1" s="32" t="s">
        <v>1</v>
      </c>
      <c r="P1" s="32"/>
      <c r="Q1" s="32"/>
      <c r="R1" s="32"/>
      <c r="S1" s="32"/>
      <c r="T1" s="32"/>
      <c r="U1" s="32"/>
      <c r="V1" s="32"/>
      <c r="W1" s="32"/>
      <c r="X1" s="32"/>
      <c r="Y1" s="32"/>
      <c r="Z1" s="32"/>
      <c r="AA1" s="32"/>
      <c r="AB1" s="32"/>
      <c r="AC1" s="32"/>
      <c r="AD1" s="32"/>
      <c r="AE1" s="32"/>
      <c r="AF1" s="32"/>
      <c r="AG1" s="31" t="s">
        <v>2</v>
      </c>
      <c r="AH1" s="31"/>
      <c r="AI1" s="31"/>
      <c r="AJ1" s="31"/>
      <c r="AK1" s="31"/>
      <c r="AL1" s="31"/>
    </row>
    <row r="2" spans="1:38" ht="69.95" customHeight="1" x14ac:dyDescent="0.25">
      <c r="A2" s="1" t="s">
        <v>3</v>
      </c>
      <c r="B2" s="1" t="s">
        <v>431</v>
      </c>
      <c r="C2" s="1" t="s">
        <v>432</v>
      </c>
      <c r="D2" s="1" t="s">
        <v>433</v>
      </c>
      <c r="E2" s="1" t="s">
        <v>7</v>
      </c>
      <c r="F2" s="1" t="s">
        <v>434</v>
      </c>
      <c r="G2" s="1" t="s">
        <v>9</v>
      </c>
      <c r="H2" s="1" t="s">
        <v>10</v>
      </c>
      <c r="I2" s="1" t="s">
        <v>13</v>
      </c>
      <c r="J2" s="1" t="s">
        <v>435</v>
      </c>
      <c r="K2" s="1" t="s">
        <v>436</v>
      </c>
      <c r="L2" s="1" t="s">
        <v>20</v>
      </c>
      <c r="M2" s="1" t="s">
        <v>21</v>
      </c>
      <c r="N2" s="1" t="s">
        <v>22</v>
      </c>
      <c r="O2" s="2" t="s">
        <v>438</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row>
    <row r="3" spans="1:38" ht="69.95" customHeight="1" x14ac:dyDescent="0.25">
      <c r="A3" s="3" t="s">
        <v>439</v>
      </c>
      <c r="B3" s="3" t="s">
        <v>440</v>
      </c>
      <c r="C3" s="3" t="s">
        <v>441</v>
      </c>
      <c r="D3" s="3" t="s">
        <v>442</v>
      </c>
      <c r="E3" s="3" t="s">
        <v>278</v>
      </c>
      <c r="F3" s="3" t="s">
        <v>443</v>
      </c>
      <c r="G3" s="3" t="s">
        <v>57</v>
      </c>
      <c r="H3" s="3" t="s">
        <v>444</v>
      </c>
      <c r="I3" s="4">
        <v>2006938345.6700001</v>
      </c>
      <c r="J3" s="4">
        <v>398005572.76999998</v>
      </c>
      <c r="K3" s="4">
        <v>2404943918.4400001</v>
      </c>
      <c r="L3" s="5">
        <v>44196</v>
      </c>
      <c r="M3" s="5">
        <f>+OtrosEjecutoresDescentralizadas[[#This Row],[FECHA DE MIGRACIÓN A GESPROY]]+1</f>
        <v>44197</v>
      </c>
      <c r="N3" s="17">
        <v>44326</v>
      </c>
      <c r="O3" s="4">
        <v>100.01</v>
      </c>
      <c r="P3" s="4">
        <v>84.26</v>
      </c>
      <c r="Q3" s="3"/>
      <c r="R3" s="3"/>
      <c r="S3" s="5">
        <v>44193</v>
      </c>
      <c r="T3" s="5">
        <v>44412</v>
      </c>
      <c r="U3" s="5">
        <v>44342</v>
      </c>
      <c r="V3" s="5">
        <v>44593</v>
      </c>
      <c r="W3" s="5"/>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IFERROR(IF(AND($G3="CONTRATADO EN EJECUCIÓN",$AF3&gt;=1),(IFERROR(IF(ISNUMBER($AH3),($AB3*0.4+$AC3*0.2+$AE3*0.4),""),""))*$AJ3/100,IFERROR(IF(ISNUMBER($AH3),($AB3*0.4+$AC3*0.2+$AE3*0.4),""),"")),0)</f>
        <v/>
      </c>
      <c r="AL3" s="3" t="s">
        <v>445</v>
      </c>
    </row>
    <row r="4" spans="1:38" ht="69.95" customHeight="1" x14ac:dyDescent="0.25">
      <c r="A4" s="3" t="s">
        <v>446</v>
      </c>
      <c r="B4" s="3" t="s">
        <v>440</v>
      </c>
      <c r="C4" s="3" t="s">
        <v>447</v>
      </c>
      <c r="D4" s="3" t="s">
        <v>448</v>
      </c>
      <c r="E4" s="3" t="s">
        <v>278</v>
      </c>
      <c r="F4" s="3" t="s">
        <v>449</v>
      </c>
      <c r="G4" s="3" t="s">
        <v>57</v>
      </c>
      <c r="H4" s="3" t="s">
        <v>444</v>
      </c>
      <c r="I4" s="4">
        <v>1295118639.0699999</v>
      </c>
      <c r="J4" s="4">
        <v>143902071.00999999</v>
      </c>
      <c r="K4" s="4">
        <v>1439020710.0799999</v>
      </c>
      <c r="L4" s="5">
        <v>44196</v>
      </c>
      <c r="M4" s="5">
        <f>+OtrosEjecutoresDescentralizadas[[#This Row],[FECHA DE MIGRACIÓN A GESPROY]]+1</f>
        <v>44197</v>
      </c>
      <c r="N4" s="17">
        <v>44326</v>
      </c>
      <c r="O4" s="4">
        <v>100</v>
      </c>
      <c r="P4" s="4">
        <v>95.4</v>
      </c>
      <c r="Q4" s="3"/>
      <c r="R4" s="3"/>
      <c r="S4" s="5">
        <v>44193</v>
      </c>
      <c r="T4" s="5">
        <v>44412</v>
      </c>
      <c r="U4" s="5">
        <v>44462</v>
      </c>
      <c r="V4" s="5">
        <v>44567</v>
      </c>
      <c r="W4" s="5"/>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445</v>
      </c>
    </row>
    <row r="5" spans="1:38" ht="156" customHeight="1" x14ac:dyDescent="0.25">
      <c r="A5" s="8">
        <v>2021000020028</v>
      </c>
      <c r="B5" s="3" t="s">
        <v>450</v>
      </c>
      <c r="C5" s="3" t="s">
        <v>451</v>
      </c>
      <c r="D5" s="3" t="s">
        <v>452</v>
      </c>
      <c r="E5" s="3" t="s">
        <v>55</v>
      </c>
      <c r="F5" s="3" t="s">
        <v>165</v>
      </c>
      <c r="G5" s="3" t="s">
        <v>68</v>
      </c>
      <c r="H5" s="3" t="s">
        <v>453</v>
      </c>
      <c r="I5" s="4">
        <v>3153851580.9099998</v>
      </c>
      <c r="J5" s="4">
        <v>0</v>
      </c>
      <c r="K5" s="4">
        <v>3153851580.9099998</v>
      </c>
      <c r="L5" s="5">
        <v>44567</v>
      </c>
      <c r="M5" s="5">
        <f>+OtrosEjecutoresDescentralizadas[[#This Row],[FECHA DE MIGRACIÓN A GESPROY]]+1</f>
        <v>44568</v>
      </c>
      <c r="N5" s="28"/>
      <c r="O5" s="4">
        <v>96.02</v>
      </c>
      <c r="P5" s="4">
        <v>94.36</v>
      </c>
      <c r="Q5" s="3">
        <v>1</v>
      </c>
      <c r="R5" s="3">
        <v>1</v>
      </c>
      <c r="S5" s="5">
        <v>44536</v>
      </c>
      <c r="T5" s="5">
        <v>44930</v>
      </c>
      <c r="U5" s="5">
        <v>44718</v>
      </c>
      <c r="V5" s="5">
        <v>44722</v>
      </c>
      <c r="W5" s="5"/>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168</v>
      </c>
    </row>
    <row r="6" spans="1:38" ht="69.95" customHeight="1" x14ac:dyDescent="0.25">
      <c r="A6" s="3" t="s">
        <v>454</v>
      </c>
      <c r="B6" s="3" t="s">
        <v>440</v>
      </c>
      <c r="C6" s="3" t="s">
        <v>455</v>
      </c>
      <c r="D6" s="3" t="s">
        <v>456</v>
      </c>
      <c r="E6" s="3" t="s">
        <v>278</v>
      </c>
      <c r="F6" s="3" t="s">
        <v>457</v>
      </c>
      <c r="G6" s="3" t="s">
        <v>68</v>
      </c>
      <c r="H6" s="3" t="s">
        <v>458</v>
      </c>
      <c r="I6" s="4">
        <v>6026477761</v>
      </c>
      <c r="J6" s="4">
        <v>4412367709</v>
      </c>
      <c r="K6" s="4">
        <v>10438845470</v>
      </c>
      <c r="L6" s="5">
        <v>44623</v>
      </c>
      <c r="M6" s="5">
        <f>+OtrosEjecutoresDescentralizadas[[#This Row],[FECHA DE MIGRACIÓN A GESPROY]]+1</f>
        <v>44624</v>
      </c>
      <c r="N6" s="17">
        <v>44509</v>
      </c>
      <c r="O6" s="4">
        <v>73.45</v>
      </c>
      <c r="P6" s="4">
        <v>49.45</v>
      </c>
      <c r="Q6" s="3">
        <v>0</v>
      </c>
      <c r="R6" s="3">
        <v>0</v>
      </c>
      <c r="S6" s="5">
        <v>44503</v>
      </c>
      <c r="T6" s="5">
        <v>44643</v>
      </c>
      <c r="U6" s="5">
        <v>44706</v>
      </c>
      <c r="V6" s="5">
        <v>44810</v>
      </c>
      <c r="W6" s="5"/>
      <c r="X6" s="5">
        <v>46127</v>
      </c>
      <c r="Y6" s="3"/>
      <c r="Z6" s="3"/>
      <c r="AA6" s="3"/>
      <c r="AB6" s="3">
        <f t="shared" si="0"/>
        <v>0</v>
      </c>
      <c r="AC6" s="3">
        <f t="shared" si="1"/>
        <v>0</v>
      </c>
      <c r="AD6" s="3">
        <f t="shared" si="2"/>
        <v>100</v>
      </c>
      <c r="AE6" s="3">
        <f t="shared" si="3"/>
        <v>100</v>
      </c>
      <c r="AF6" s="3">
        <v>4</v>
      </c>
      <c r="AG6" s="3"/>
      <c r="AH6" s="3">
        <v>100</v>
      </c>
      <c r="AI6" s="3">
        <v>100</v>
      </c>
      <c r="AJ6" s="3">
        <f t="shared" si="4"/>
        <v>50</v>
      </c>
      <c r="AK6" s="3">
        <f t="shared" si="5"/>
        <v>20</v>
      </c>
      <c r="AL6" s="3" t="s">
        <v>876</v>
      </c>
    </row>
    <row r="7" spans="1:38" ht="69.95" customHeight="1" x14ac:dyDescent="0.25">
      <c r="A7" s="8">
        <v>20221301010208</v>
      </c>
      <c r="B7" s="3" t="s">
        <v>440</v>
      </c>
      <c r="C7" s="3" t="s">
        <v>459</v>
      </c>
      <c r="D7" s="3" t="s">
        <v>460</v>
      </c>
      <c r="E7" s="3" t="s">
        <v>278</v>
      </c>
      <c r="F7" s="3" t="s">
        <v>461</v>
      </c>
      <c r="G7" s="3" t="s">
        <v>68</v>
      </c>
      <c r="H7" s="3" t="s">
        <v>453</v>
      </c>
      <c r="I7" s="4">
        <v>1800000000</v>
      </c>
      <c r="J7" s="4">
        <v>3595445276.02</v>
      </c>
      <c r="K7" s="4">
        <v>5395445276.0200005</v>
      </c>
      <c r="L7" s="5">
        <v>44924</v>
      </c>
      <c r="M7" s="5">
        <f>+OtrosEjecutoresDescentralizadas[[#This Row],[FECHA DE MIGRACIÓN A GESPROY]]+1</f>
        <v>44925</v>
      </c>
      <c r="N7" s="17">
        <v>44930</v>
      </c>
      <c r="O7" s="4">
        <v>64.010000000000005</v>
      </c>
      <c r="P7" s="4">
        <v>45.29</v>
      </c>
      <c r="Q7" s="3">
        <v>0</v>
      </c>
      <c r="R7" s="3">
        <v>0</v>
      </c>
      <c r="S7" s="5">
        <v>44924</v>
      </c>
      <c r="T7" s="5">
        <v>45093</v>
      </c>
      <c r="U7" s="5">
        <v>45043</v>
      </c>
      <c r="V7" s="5">
        <v>45175</v>
      </c>
      <c r="W7" s="5"/>
      <c r="X7" s="5">
        <v>46127</v>
      </c>
      <c r="Y7" s="3"/>
      <c r="Z7" s="3"/>
      <c r="AA7" s="3"/>
      <c r="AB7" s="3">
        <f t="shared" si="0"/>
        <v>0</v>
      </c>
      <c r="AC7" s="3">
        <f t="shared" si="1"/>
        <v>0</v>
      </c>
      <c r="AD7" s="3">
        <f t="shared" si="2"/>
        <v>100</v>
      </c>
      <c r="AE7" s="3">
        <f t="shared" si="3"/>
        <v>100</v>
      </c>
      <c r="AF7" s="3">
        <v>4</v>
      </c>
      <c r="AG7" s="3"/>
      <c r="AH7" s="3">
        <v>100</v>
      </c>
      <c r="AI7" s="3">
        <v>100</v>
      </c>
      <c r="AJ7" s="3">
        <f t="shared" si="4"/>
        <v>50</v>
      </c>
      <c r="AK7" s="3">
        <f t="shared" si="5"/>
        <v>20</v>
      </c>
      <c r="AL7" s="3" t="s">
        <v>876</v>
      </c>
    </row>
    <row r="8" spans="1:38" ht="69.95" customHeight="1" x14ac:dyDescent="0.25">
      <c r="A8" s="3" t="s">
        <v>462</v>
      </c>
      <c r="B8" s="3" t="s">
        <v>450</v>
      </c>
      <c r="C8" s="3" t="s">
        <v>463</v>
      </c>
      <c r="D8" s="3" t="s">
        <v>464</v>
      </c>
      <c r="E8" s="3" t="s">
        <v>55</v>
      </c>
      <c r="F8" s="3" t="s">
        <v>95</v>
      </c>
      <c r="G8" s="3" t="s">
        <v>57</v>
      </c>
      <c r="H8" s="3" t="s">
        <v>444</v>
      </c>
      <c r="I8" s="4">
        <v>1702007732.2</v>
      </c>
      <c r="J8" s="4">
        <v>0</v>
      </c>
      <c r="K8" s="4">
        <v>1702007732.2</v>
      </c>
      <c r="L8" s="5">
        <v>45225</v>
      </c>
      <c r="M8" s="5">
        <f>+OtrosEjecutoresDescentralizadas[[#This Row],[FECHA DE MIGRACIÓN A GESPROY]]+1</f>
        <v>45226</v>
      </c>
      <c r="N8" s="17">
        <v>45232</v>
      </c>
      <c r="O8" s="4">
        <v>100</v>
      </c>
      <c r="P8" s="4">
        <v>92.4</v>
      </c>
      <c r="Q8" s="3"/>
      <c r="R8" s="3"/>
      <c r="S8" s="5">
        <v>45219</v>
      </c>
      <c r="T8" s="5">
        <v>45274</v>
      </c>
      <c r="U8" s="5">
        <v>45289</v>
      </c>
      <c r="V8" s="5">
        <v>45300</v>
      </c>
      <c r="W8" s="5"/>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445</v>
      </c>
    </row>
    <row r="9" spans="1:38" ht="93" customHeight="1" x14ac:dyDescent="0.25">
      <c r="A9" s="3" t="s">
        <v>465</v>
      </c>
      <c r="B9" s="3" t="s">
        <v>450</v>
      </c>
      <c r="C9" s="3" t="s">
        <v>466</v>
      </c>
      <c r="D9" s="3" t="s">
        <v>467</v>
      </c>
      <c r="E9" s="3" t="s">
        <v>283</v>
      </c>
      <c r="F9" s="3" t="s">
        <v>468</v>
      </c>
      <c r="G9" s="3" t="s">
        <v>57</v>
      </c>
      <c r="H9" s="3" t="s">
        <v>444</v>
      </c>
      <c r="I9" s="4">
        <v>13713002364.719999</v>
      </c>
      <c r="J9" s="4">
        <v>0</v>
      </c>
      <c r="K9" s="4">
        <v>13713002364.719999</v>
      </c>
      <c r="L9" s="5">
        <v>45301</v>
      </c>
      <c r="M9" s="5">
        <f>+OtrosEjecutoresDescentralizadas[[#This Row],[FECHA DE MIGRACIÓN A GESPROY]]+1</f>
        <v>45302</v>
      </c>
      <c r="N9" s="17">
        <v>45290</v>
      </c>
      <c r="O9" s="4">
        <v>100</v>
      </c>
      <c r="P9" s="4">
        <v>99.99</v>
      </c>
      <c r="Q9" s="3"/>
      <c r="R9" s="3"/>
      <c r="S9" s="5">
        <v>45290</v>
      </c>
      <c r="T9" s="5">
        <v>45433</v>
      </c>
      <c r="U9" s="5">
        <v>45505</v>
      </c>
      <c r="V9" s="5">
        <v>45567</v>
      </c>
      <c r="W9" s="5"/>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445</v>
      </c>
    </row>
    <row r="10" spans="1:38" ht="69.95" customHeight="1" x14ac:dyDescent="0.25">
      <c r="A10" s="3" t="s">
        <v>469</v>
      </c>
      <c r="B10" s="3" t="s">
        <v>450</v>
      </c>
      <c r="C10" s="3" t="s">
        <v>470</v>
      </c>
      <c r="D10" s="3" t="s">
        <v>471</v>
      </c>
      <c r="E10" s="3" t="s">
        <v>220</v>
      </c>
      <c r="F10" s="3" t="s">
        <v>95</v>
      </c>
      <c r="G10" s="3" t="s">
        <v>68</v>
      </c>
      <c r="H10" s="3" t="s">
        <v>453</v>
      </c>
      <c r="I10" s="4">
        <v>9056051736.6399994</v>
      </c>
      <c r="J10" s="4">
        <v>0</v>
      </c>
      <c r="K10" s="4">
        <v>9056051736.6399994</v>
      </c>
      <c r="L10" s="5">
        <v>45301</v>
      </c>
      <c r="M10" s="5">
        <f>+OtrosEjecutoresDescentralizadas[[#This Row],[FECHA DE MIGRACIÓN A GESPROY]]+1</f>
        <v>45302</v>
      </c>
      <c r="N10" s="17">
        <v>45290</v>
      </c>
      <c r="O10" s="4">
        <v>26.22</v>
      </c>
      <c r="P10" s="4">
        <v>41.84</v>
      </c>
      <c r="Q10" s="3">
        <v>1</v>
      </c>
      <c r="R10" s="3">
        <v>0.69</v>
      </c>
      <c r="S10" s="5">
        <v>45290</v>
      </c>
      <c r="T10" s="5">
        <v>45491</v>
      </c>
      <c r="U10" s="5">
        <v>45582</v>
      </c>
      <c r="V10" s="5">
        <v>45772</v>
      </c>
      <c r="W10" s="5"/>
      <c r="X10" s="5">
        <v>46096</v>
      </c>
      <c r="Y10" s="3"/>
      <c r="Z10" s="3"/>
      <c r="AA10" s="3"/>
      <c r="AB10" s="6">
        <f t="shared" si="0"/>
        <v>67.391304347826079</v>
      </c>
      <c r="AC10" s="3">
        <f t="shared" si="1"/>
        <v>100</v>
      </c>
      <c r="AD10" s="3">
        <f t="shared" si="2"/>
        <v>100</v>
      </c>
      <c r="AE10" s="3">
        <f t="shared" si="3"/>
        <v>100</v>
      </c>
      <c r="AF10" s="3"/>
      <c r="AG10" s="3"/>
      <c r="AH10" s="3">
        <v>100</v>
      </c>
      <c r="AI10" s="3">
        <v>100</v>
      </c>
      <c r="AJ10" s="3">
        <f t="shared" si="4"/>
        <v>100</v>
      </c>
      <c r="AK10" s="6">
        <f t="shared" si="5"/>
        <v>86.956521739130437</v>
      </c>
      <c r="AL10" s="3"/>
    </row>
    <row r="11" spans="1:38" ht="69.95" customHeight="1" x14ac:dyDescent="0.25">
      <c r="A11" s="3" t="s">
        <v>472</v>
      </c>
      <c r="B11" s="3" t="s">
        <v>440</v>
      </c>
      <c r="C11" s="3" t="s">
        <v>473</v>
      </c>
      <c r="D11" s="3" t="s">
        <v>474</v>
      </c>
      <c r="E11" s="3" t="s">
        <v>278</v>
      </c>
      <c r="F11" s="3" t="s">
        <v>95</v>
      </c>
      <c r="G11" s="3" t="s">
        <v>68</v>
      </c>
      <c r="H11" s="3" t="s">
        <v>453</v>
      </c>
      <c r="I11" s="4">
        <v>7862105021</v>
      </c>
      <c r="J11" s="4">
        <v>0</v>
      </c>
      <c r="K11" s="4">
        <v>7862105021</v>
      </c>
      <c r="L11" s="5">
        <v>45477</v>
      </c>
      <c r="M11" s="5">
        <f>+OtrosEjecutoresDescentralizadas[[#This Row],[FECHA DE MIGRACIÓN A GESPROY]]+1</f>
        <v>45478</v>
      </c>
      <c r="N11" s="17">
        <v>45485</v>
      </c>
      <c r="O11" s="4">
        <v>94.53</v>
      </c>
      <c r="P11" s="4">
        <v>89.87</v>
      </c>
      <c r="Q11" s="3">
        <v>1</v>
      </c>
      <c r="R11" s="3">
        <v>0.99</v>
      </c>
      <c r="S11" s="5">
        <v>45471</v>
      </c>
      <c r="T11" s="5">
        <v>45539</v>
      </c>
      <c r="U11" s="5">
        <v>45609</v>
      </c>
      <c r="V11" s="5">
        <v>45624</v>
      </c>
      <c r="W11" s="5"/>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row>
    <row r="12" spans="1:38" ht="97.5" customHeight="1" x14ac:dyDescent="0.25">
      <c r="A12" s="3" t="s">
        <v>475</v>
      </c>
      <c r="B12" s="3" t="s">
        <v>476</v>
      </c>
      <c r="C12" s="3" t="s">
        <v>477</v>
      </c>
      <c r="D12" s="3" t="s">
        <v>478</v>
      </c>
      <c r="E12" s="3" t="s">
        <v>253</v>
      </c>
      <c r="F12" s="3" t="s">
        <v>95</v>
      </c>
      <c r="G12" s="3" t="s">
        <v>68</v>
      </c>
      <c r="H12" s="3" t="s">
        <v>453</v>
      </c>
      <c r="I12" s="4">
        <v>15100656106.639999</v>
      </c>
      <c r="J12" s="4">
        <v>0</v>
      </c>
      <c r="K12" s="4">
        <v>15100656106.639999</v>
      </c>
      <c r="L12" s="5">
        <v>45474</v>
      </c>
      <c r="M12" s="5">
        <f>+OtrosEjecutoresDescentralizadas[[#This Row],[FECHA DE MIGRACIÓN A GESPROY]]+1</f>
        <v>45475</v>
      </c>
      <c r="N12" s="17">
        <v>45506</v>
      </c>
      <c r="O12" s="4">
        <v>99.98</v>
      </c>
      <c r="P12" s="4">
        <v>88.74</v>
      </c>
      <c r="Q12" s="3">
        <v>0</v>
      </c>
      <c r="R12" s="3">
        <v>0</v>
      </c>
      <c r="S12" s="5">
        <v>45470</v>
      </c>
      <c r="T12" s="5">
        <v>45544</v>
      </c>
      <c r="U12" s="5">
        <v>45716</v>
      </c>
      <c r="V12" s="5">
        <v>45723</v>
      </c>
      <c r="W12" s="5"/>
      <c r="X12" s="5">
        <v>46096</v>
      </c>
      <c r="Y12" s="3"/>
      <c r="Z12" s="3"/>
      <c r="AA12" s="3"/>
      <c r="AB12" s="3">
        <f t="shared" si="0"/>
        <v>0</v>
      </c>
      <c r="AC12" s="3">
        <f t="shared" si="1"/>
        <v>0</v>
      </c>
      <c r="AD12" s="3">
        <f t="shared" si="2"/>
        <v>100</v>
      </c>
      <c r="AE12" s="3">
        <f t="shared" si="3"/>
        <v>100</v>
      </c>
      <c r="AF12" s="3">
        <v>1</v>
      </c>
      <c r="AG12" s="3"/>
      <c r="AH12" s="3">
        <v>100</v>
      </c>
      <c r="AI12" s="3">
        <v>100</v>
      </c>
      <c r="AJ12" s="3">
        <f t="shared" si="4"/>
        <v>90</v>
      </c>
      <c r="AK12" s="3">
        <f t="shared" si="5"/>
        <v>36</v>
      </c>
      <c r="AL12" s="3" t="s">
        <v>877</v>
      </c>
    </row>
    <row r="13" spans="1:38" ht="69.95" customHeight="1" x14ac:dyDescent="0.25">
      <c r="A13" s="3" t="s">
        <v>479</v>
      </c>
      <c r="B13" s="3" t="s">
        <v>440</v>
      </c>
      <c r="C13" s="3" t="s">
        <v>480</v>
      </c>
      <c r="D13" s="3" t="s">
        <v>481</v>
      </c>
      <c r="E13" s="3" t="s">
        <v>270</v>
      </c>
      <c r="F13" s="3" t="s">
        <v>95</v>
      </c>
      <c r="G13" s="3" t="s">
        <v>68</v>
      </c>
      <c r="H13" s="3" t="s">
        <v>453</v>
      </c>
      <c r="I13" s="4">
        <v>3068416428</v>
      </c>
      <c r="J13" s="4">
        <v>0</v>
      </c>
      <c r="K13" s="4">
        <v>3068416428</v>
      </c>
      <c r="L13" s="5">
        <v>45658</v>
      </c>
      <c r="M13" s="5">
        <f>+OtrosEjecutoresDescentralizadas[[#This Row],[FECHA DE MIGRACIÓN A GESPROY]]+1</f>
        <v>45659</v>
      </c>
      <c r="N13" s="17">
        <v>45656</v>
      </c>
      <c r="O13" s="4">
        <v>96.73</v>
      </c>
      <c r="P13" s="4">
        <v>64.38</v>
      </c>
      <c r="Q13" s="3">
        <v>1</v>
      </c>
      <c r="R13" s="3">
        <v>1</v>
      </c>
      <c r="S13" s="5">
        <v>45650</v>
      </c>
      <c r="T13" s="5">
        <v>45849</v>
      </c>
      <c r="U13" s="5">
        <v>45852</v>
      </c>
      <c r="V13" s="5">
        <v>45863</v>
      </c>
      <c r="W13" s="5"/>
      <c r="X13" s="5">
        <v>46127</v>
      </c>
      <c r="Y13" s="3"/>
      <c r="Z13" s="3"/>
      <c r="AA13" s="3"/>
      <c r="AB13" s="3">
        <f t="shared" si="0"/>
        <v>100</v>
      </c>
      <c r="AC13" s="3">
        <f t="shared" si="1"/>
        <v>100</v>
      </c>
      <c r="AD13" s="3">
        <f t="shared" si="2"/>
        <v>100</v>
      </c>
      <c r="AE13" s="3">
        <f t="shared" si="3"/>
        <v>100</v>
      </c>
      <c r="AF13" s="3"/>
      <c r="AG13" s="3"/>
      <c r="AH13" s="3">
        <v>100</v>
      </c>
      <c r="AI13" s="3">
        <v>100</v>
      </c>
      <c r="AJ13" s="3">
        <f t="shared" si="4"/>
        <v>100</v>
      </c>
      <c r="AK13" s="3">
        <f t="shared" si="5"/>
        <v>100</v>
      </c>
      <c r="AL13" s="3"/>
    </row>
    <row r="14" spans="1:38" ht="69.95" customHeight="1" x14ac:dyDescent="0.25">
      <c r="A14" s="8">
        <v>2024002700193</v>
      </c>
      <c r="B14" s="3" t="s">
        <v>476</v>
      </c>
      <c r="C14" s="3" t="s">
        <v>482</v>
      </c>
      <c r="D14" s="3" t="s">
        <v>483</v>
      </c>
      <c r="E14" s="3" t="s">
        <v>253</v>
      </c>
      <c r="F14" s="3" t="s">
        <v>95</v>
      </c>
      <c r="G14" s="3" t="s">
        <v>68</v>
      </c>
      <c r="H14" s="3" t="s">
        <v>453</v>
      </c>
      <c r="I14" s="4">
        <v>63850574205.629997</v>
      </c>
      <c r="J14" s="4">
        <v>0</v>
      </c>
      <c r="K14" s="4">
        <v>63850574205.629997</v>
      </c>
      <c r="L14" s="5">
        <v>45658</v>
      </c>
      <c r="M14" s="5">
        <f>+OtrosEjecutoresDescentralizadas[[#This Row],[FECHA DE MIGRACIÓN A GESPROY]]+1</f>
        <v>45659</v>
      </c>
      <c r="N14" s="17">
        <v>45656</v>
      </c>
      <c r="O14" s="4">
        <v>24</v>
      </c>
      <c r="P14" s="4">
        <v>42.4</v>
      </c>
      <c r="Q14" s="3">
        <v>1</v>
      </c>
      <c r="R14" s="3">
        <v>0.48</v>
      </c>
      <c r="S14" s="5">
        <v>45653</v>
      </c>
      <c r="T14" s="5">
        <v>45656</v>
      </c>
      <c r="U14" s="5">
        <v>45672</v>
      </c>
      <c r="V14" s="5">
        <v>45672</v>
      </c>
      <c r="W14" s="5"/>
      <c r="X14" s="5">
        <v>46096</v>
      </c>
      <c r="Y14" s="3"/>
      <c r="Z14" s="3"/>
      <c r="AA14" s="3"/>
      <c r="AB14" s="3">
        <f t="shared" si="0"/>
        <v>21.739130434782606</v>
      </c>
      <c r="AC14" s="3">
        <f t="shared" si="1"/>
        <v>100</v>
      </c>
      <c r="AD14" s="3">
        <f t="shared" si="2"/>
        <v>100</v>
      </c>
      <c r="AE14" s="3">
        <f t="shared" si="3"/>
        <v>100</v>
      </c>
      <c r="AF14" s="3">
        <v>2</v>
      </c>
      <c r="AG14" s="3"/>
      <c r="AH14" s="3">
        <v>100</v>
      </c>
      <c r="AI14" s="3">
        <v>100</v>
      </c>
      <c r="AJ14" s="3">
        <f t="shared" si="4"/>
        <v>75</v>
      </c>
      <c r="AK14" s="7">
        <f t="shared" si="5"/>
        <v>51.521739130434788</v>
      </c>
      <c r="AL14" s="3"/>
    </row>
    <row r="15" spans="1:38" ht="69.95" customHeight="1" x14ac:dyDescent="0.25">
      <c r="A15" s="12" t="s">
        <v>484</v>
      </c>
      <c r="B15" s="12" t="s">
        <v>440</v>
      </c>
      <c r="C15" s="12" t="s">
        <v>485</v>
      </c>
      <c r="D15" s="3" t="s">
        <v>486</v>
      </c>
      <c r="E15" s="3" t="s">
        <v>278</v>
      </c>
      <c r="F15" s="3" t="s">
        <v>95</v>
      </c>
      <c r="G15" s="3" t="s">
        <v>68</v>
      </c>
      <c r="H15" s="3" t="s">
        <v>453</v>
      </c>
      <c r="I15" s="4">
        <v>11318403530.17</v>
      </c>
      <c r="J15" s="4">
        <v>0</v>
      </c>
      <c r="K15" s="4">
        <v>11318403530.17</v>
      </c>
      <c r="L15" s="5">
        <v>45822</v>
      </c>
      <c r="M15" s="5">
        <f>+OtrosEjecutoresDescentralizadas[[#This Row],[FECHA DE MIGRACIÓN A GESPROY]]+1</f>
        <v>45823</v>
      </c>
      <c r="N15" s="17">
        <v>45825</v>
      </c>
      <c r="O15" s="4">
        <v>8.77</v>
      </c>
      <c r="P15" s="4">
        <v>40</v>
      </c>
      <c r="Q15" s="3">
        <v>1</v>
      </c>
      <c r="R15" s="3">
        <v>0.93</v>
      </c>
      <c r="S15" s="5">
        <v>45818</v>
      </c>
      <c r="T15" s="5">
        <v>45926</v>
      </c>
      <c r="U15" s="5">
        <v>45981</v>
      </c>
      <c r="V15" s="5">
        <v>46030</v>
      </c>
      <c r="W15" s="5"/>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row>
    <row r="16" spans="1:38" ht="69.95" customHeight="1" x14ac:dyDescent="0.25">
      <c r="A16" s="12" t="s">
        <v>487</v>
      </c>
      <c r="B16" s="12" t="s">
        <v>476</v>
      </c>
      <c r="C16" s="12" t="s">
        <v>488</v>
      </c>
      <c r="D16" s="3" t="s">
        <v>489</v>
      </c>
      <c r="E16" s="3" t="s">
        <v>253</v>
      </c>
      <c r="F16" s="3" t="s">
        <v>215</v>
      </c>
      <c r="G16" s="3" t="s">
        <v>360</v>
      </c>
      <c r="H16" s="3" t="s">
        <v>490</v>
      </c>
      <c r="I16" s="4">
        <v>1903272161</v>
      </c>
      <c r="J16" s="4">
        <v>0</v>
      </c>
      <c r="K16" s="4">
        <v>1903272161</v>
      </c>
      <c r="L16" s="5">
        <v>45789</v>
      </c>
      <c r="M16" s="5">
        <f>+OtrosEjecutoresDescentralizadas[[#This Row],[FECHA DE MIGRACIÓN A GESPROY]]+1</f>
        <v>45790</v>
      </c>
      <c r="N16" s="17">
        <v>45803</v>
      </c>
      <c r="O16" s="4">
        <v>0</v>
      </c>
      <c r="P16" s="4">
        <v>0</v>
      </c>
      <c r="Q16" s="3"/>
      <c r="R16" s="3"/>
      <c r="S16" s="5">
        <v>45785</v>
      </c>
      <c r="T16" s="5">
        <v>45838</v>
      </c>
      <c r="U16" s="5">
        <v>46058</v>
      </c>
      <c r="V16" s="5"/>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row>
    <row r="17" spans="1:38" ht="69.95" customHeight="1" x14ac:dyDescent="0.25">
      <c r="A17" s="12" t="s">
        <v>491</v>
      </c>
      <c r="B17" s="12" t="s">
        <v>476</v>
      </c>
      <c r="C17" s="12" t="s">
        <v>492</v>
      </c>
      <c r="D17" s="3" t="s">
        <v>493</v>
      </c>
      <c r="E17" s="3" t="s">
        <v>253</v>
      </c>
      <c r="F17" s="3" t="s">
        <v>215</v>
      </c>
      <c r="G17" s="3" t="s">
        <v>68</v>
      </c>
      <c r="H17" s="3" t="s">
        <v>453</v>
      </c>
      <c r="I17" s="4">
        <v>1484402616</v>
      </c>
      <c r="J17" s="4">
        <v>400000000</v>
      </c>
      <c r="K17" s="4">
        <v>1884402616</v>
      </c>
      <c r="L17" s="5"/>
      <c r="M17" s="5"/>
      <c r="N17" s="17">
        <v>45803</v>
      </c>
      <c r="O17" s="4">
        <v>0</v>
      </c>
      <c r="P17" s="4">
        <v>0</v>
      </c>
      <c r="Q17" s="3">
        <v>1</v>
      </c>
      <c r="R17" s="3">
        <v>1</v>
      </c>
      <c r="S17" s="5">
        <v>45796</v>
      </c>
      <c r="T17" s="5">
        <v>45947</v>
      </c>
      <c r="U17" s="5">
        <v>46112</v>
      </c>
      <c r="V17" s="5">
        <v>46120</v>
      </c>
      <c r="W17" s="5"/>
      <c r="X17" s="5">
        <v>46096</v>
      </c>
      <c r="Y17" s="3"/>
      <c r="Z17" s="3"/>
      <c r="AA17" s="3"/>
      <c r="AB17" s="3">
        <f t="shared" si="0"/>
        <v>100</v>
      </c>
      <c r="AC17" s="3">
        <f t="shared" si="1"/>
        <v>100</v>
      </c>
      <c r="AD17" s="3">
        <f t="shared" si="2"/>
        <v>100</v>
      </c>
      <c r="AE17" s="3" t="str">
        <f t="shared" si="3"/>
        <v/>
      </c>
      <c r="AF17" s="3"/>
      <c r="AG17" s="3"/>
      <c r="AH17" s="3">
        <v>100</v>
      </c>
      <c r="AI17" s="3">
        <v>100</v>
      </c>
      <c r="AJ17" s="3">
        <f t="shared" si="4"/>
        <v>100</v>
      </c>
      <c r="AK17" s="3" t="str">
        <f t="shared" si="5"/>
        <v/>
      </c>
      <c r="AL17" s="3"/>
    </row>
    <row r="18" spans="1:38" ht="144" customHeight="1" x14ac:dyDescent="0.25">
      <c r="A18" s="12" t="s">
        <v>494</v>
      </c>
      <c r="B18" s="12" t="s">
        <v>440</v>
      </c>
      <c r="C18" s="12" t="s">
        <v>495</v>
      </c>
      <c r="D18" s="3" t="s">
        <v>496</v>
      </c>
      <c r="E18" s="3" t="s">
        <v>278</v>
      </c>
      <c r="F18" s="3" t="s">
        <v>497</v>
      </c>
      <c r="G18" s="3" t="s">
        <v>336</v>
      </c>
      <c r="H18" s="3" t="s">
        <v>498</v>
      </c>
      <c r="I18" s="4">
        <v>627486059.86000001</v>
      </c>
      <c r="J18" s="4">
        <v>1650000000</v>
      </c>
      <c r="K18" s="4">
        <v>2277486059.8600001</v>
      </c>
      <c r="L18" s="5">
        <v>46118</v>
      </c>
      <c r="M18" s="5">
        <f>+OtrosEjecutoresDescentralizadas[[#This Row],[FECHA DE MIGRACIÓN A GESPROY]]+1</f>
        <v>46119</v>
      </c>
      <c r="N18" s="24">
        <v>46119</v>
      </c>
      <c r="O18" s="4">
        <v>0</v>
      </c>
      <c r="P18" s="4">
        <v>0</v>
      </c>
      <c r="Q18" s="3"/>
      <c r="R18" s="3"/>
      <c r="S18" s="5">
        <v>46107</v>
      </c>
      <c r="T18" s="5"/>
      <c r="U18" s="5"/>
      <c r="V18" s="5"/>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BB839-CD8D-4F7F-BBA8-C26EF6962443}">
  <dimension ref="A1:D13"/>
  <sheetViews>
    <sheetView workbookViewId="0">
      <selection activeCell="H15" sqref="H15"/>
    </sheetView>
  </sheetViews>
  <sheetFormatPr baseColWidth="10" defaultRowHeight="15" x14ac:dyDescent="0.25"/>
  <cols>
    <col min="1" max="1" width="28.85546875" customWidth="1"/>
    <col min="2" max="2" width="28.7109375" customWidth="1"/>
    <col min="3" max="3" width="20.140625" customWidth="1"/>
    <col min="4" max="4" width="28.85546875" customWidth="1"/>
  </cols>
  <sheetData>
    <row r="1" spans="1:4" x14ac:dyDescent="0.25">
      <c r="A1" s="13" t="s">
        <v>885</v>
      </c>
      <c r="B1" s="13" t="s">
        <v>878</v>
      </c>
      <c r="C1" s="13" t="s">
        <v>879</v>
      </c>
    </row>
    <row r="2" spans="1:4" x14ac:dyDescent="0.25">
      <c r="A2" s="14" t="s">
        <v>880</v>
      </c>
      <c r="B2" s="15" t="s">
        <v>883</v>
      </c>
      <c r="C2" s="16" t="s">
        <v>881</v>
      </c>
      <c r="D2" t="s">
        <v>911</v>
      </c>
    </row>
    <row r="3" spans="1:4" ht="30" x14ac:dyDescent="0.25">
      <c r="A3" s="16" t="s">
        <v>880</v>
      </c>
      <c r="B3" s="15" t="s">
        <v>882</v>
      </c>
      <c r="C3" s="16" t="s">
        <v>884</v>
      </c>
      <c r="D3" t="s">
        <v>911</v>
      </c>
    </row>
    <row r="4" spans="1:4" ht="45" x14ac:dyDescent="0.25">
      <c r="A4" s="16" t="s">
        <v>886</v>
      </c>
      <c r="B4" s="15" t="s">
        <v>887</v>
      </c>
      <c r="C4" s="15" t="s">
        <v>888</v>
      </c>
      <c r="D4" t="s">
        <v>912</v>
      </c>
    </row>
    <row r="5" spans="1:4" ht="30" x14ac:dyDescent="0.25">
      <c r="A5" s="16" t="s">
        <v>889</v>
      </c>
      <c r="B5" s="15" t="s">
        <v>890</v>
      </c>
      <c r="C5" s="15" t="s">
        <v>888</v>
      </c>
      <c r="D5" t="s">
        <v>912</v>
      </c>
    </row>
    <row r="6" spans="1:4" ht="30" x14ac:dyDescent="0.25">
      <c r="A6" s="16" t="s">
        <v>891</v>
      </c>
      <c r="B6" s="15" t="s">
        <v>892</v>
      </c>
      <c r="C6" s="15" t="s">
        <v>888</v>
      </c>
      <c r="D6" t="s">
        <v>912</v>
      </c>
    </row>
    <row r="7" spans="1:4" x14ac:dyDescent="0.25">
      <c r="A7" s="16" t="s">
        <v>891</v>
      </c>
      <c r="B7" s="15" t="s">
        <v>893</v>
      </c>
      <c r="C7" s="16"/>
      <c r="D7" t="s">
        <v>912</v>
      </c>
    </row>
    <row r="8" spans="1:4" ht="30" x14ac:dyDescent="0.25">
      <c r="A8" s="16" t="s">
        <v>891</v>
      </c>
      <c r="B8" s="15" t="s">
        <v>894</v>
      </c>
      <c r="C8" s="16"/>
      <c r="D8" t="s">
        <v>912</v>
      </c>
    </row>
    <row r="9" spans="1:4" ht="30" x14ac:dyDescent="0.25">
      <c r="A9" s="15" t="s">
        <v>437</v>
      </c>
      <c r="B9" s="15" t="s">
        <v>903</v>
      </c>
      <c r="C9" s="15" t="s">
        <v>904</v>
      </c>
      <c r="D9" t="s">
        <v>911</v>
      </c>
    </row>
    <row r="10" spans="1:4" ht="30" x14ac:dyDescent="0.25">
      <c r="A10" s="16" t="s">
        <v>880</v>
      </c>
      <c r="B10" s="15" t="s">
        <v>905</v>
      </c>
      <c r="C10" s="15" t="s">
        <v>907</v>
      </c>
      <c r="D10" t="s">
        <v>912</v>
      </c>
    </row>
    <row r="11" spans="1:4" ht="30" x14ac:dyDescent="0.25">
      <c r="A11" s="16" t="s">
        <v>891</v>
      </c>
      <c r="B11" s="15" t="s">
        <v>906</v>
      </c>
      <c r="C11" s="15" t="s">
        <v>888</v>
      </c>
      <c r="D11" t="s">
        <v>912</v>
      </c>
    </row>
    <row r="12" spans="1:4" ht="30" x14ac:dyDescent="0.25">
      <c r="A12" s="16" t="s">
        <v>891</v>
      </c>
      <c r="B12" s="15" t="s">
        <v>908</v>
      </c>
      <c r="C12" s="15" t="s">
        <v>888</v>
      </c>
      <c r="D12" t="s">
        <v>912</v>
      </c>
    </row>
    <row r="13" spans="1:4" ht="30" x14ac:dyDescent="0.25">
      <c r="A13" s="16" t="s">
        <v>891</v>
      </c>
      <c r="B13" s="15" t="s">
        <v>910</v>
      </c>
      <c r="C13" s="15" t="s">
        <v>909</v>
      </c>
      <c r="D13" t="s">
        <v>912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topLeftCell="J1" workbookViewId="0">
      <selection activeCell="L4" sqref="L4"/>
    </sheetView>
  </sheetViews>
  <sheetFormatPr baseColWidth="10" defaultColWidth="9.140625" defaultRowHeight="15" x14ac:dyDescent="0.25"/>
  <cols>
    <col min="1" max="2" width="25.7109375" customWidth="1"/>
    <col min="3" max="3" width="36.28515625" customWidth="1"/>
    <col min="4" max="18" width="25.7109375" customWidth="1"/>
  </cols>
  <sheetData>
    <row r="1" spans="1:18" ht="39.950000000000003" customHeight="1" x14ac:dyDescent="0.25">
      <c r="A1" s="31" t="s">
        <v>0</v>
      </c>
      <c r="B1" s="31"/>
      <c r="C1" s="31"/>
      <c r="D1" s="31"/>
      <c r="E1" s="31"/>
      <c r="F1" s="31"/>
      <c r="G1" s="31"/>
      <c r="H1" s="31"/>
      <c r="I1" s="31"/>
      <c r="J1" s="31"/>
      <c r="K1" s="31"/>
      <c r="L1" s="31"/>
      <c r="M1" s="31"/>
      <c r="N1" s="31"/>
      <c r="O1" s="31"/>
      <c r="P1" s="31"/>
      <c r="Q1" s="31"/>
      <c r="R1" s="31"/>
    </row>
    <row r="2" spans="1:18" ht="69.95" customHeight="1" x14ac:dyDescent="0.25">
      <c r="A2" s="1" t="s">
        <v>3</v>
      </c>
      <c r="B2" s="1" t="s">
        <v>431</v>
      </c>
      <c r="C2" s="1" t="s">
        <v>432</v>
      </c>
      <c r="D2" s="1" t="s">
        <v>433</v>
      </c>
      <c r="E2" s="1" t="s">
        <v>7</v>
      </c>
      <c r="F2" s="1" t="s">
        <v>434</v>
      </c>
      <c r="G2" s="1" t="s">
        <v>9</v>
      </c>
      <c r="H2" s="1" t="s">
        <v>10</v>
      </c>
      <c r="I2" s="1" t="s">
        <v>13</v>
      </c>
      <c r="J2" s="1" t="s">
        <v>15</v>
      </c>
      <c r="K2" s="1" t="s">
        <v>436</v>
      </c>
      <c r="L2" s="1" t="s">
        <v>27</v>
      </c>
      <c r="M2" s="1" t="s">
        <v>21</v>
      </c>
      <c r="N2" s="1" t="s">
        <v>22</v>
      </c>
      <c r="O2" s="1" t="s">
        <v>30</v>
      </c>
      <c r="P2" s="1" t="s">
        <v>438</v>
      </c>
      <c r="Q2" s="1" t="s">
        <v>24</v>
      </c>
      <c r="R2" s="1" t="s">
        <v>499</v>
      </c>
    </row>
    <row r="3" spans="1:18" ht="69.95" customHeight="1" x14ac:dyDescent="0.25">
      <c r="A3" s="8">
        <v>2012000020042</v>
      </c>
      <c r="B3" s="3" t="s">
        <v>500</v>
      </c>
      <c r="C3" s="3" t="s">
        <v>501</v>
      </c>
      <c r="D3" s="3" t="s">
        <v>502</v>
      </c>
      <c r="E3" s="3" t="s">
        <v>92</v>
      </c>
      <c r="F3" s="3" t="s">
        <v>60</v>
      </c>
      <c r="G3" s="3" t="s">
        <v>57</v>
      </c>
      <c r="H3" s="3" t="s">
        <v>503</v>
      </c>
      <c r="I3" s="4">
        <v>22526692745</v>
      </c>
      <c r="J3" s="4">
        <v>0</v>
      </c>
      <c r="K3" s="4">
        <v>22526692745</v>
      </c>
      <c r="L3" s="17">
        <v>41201</v>
      </c>
      <c r="M3" s="17"/>
      <c r="N3" s="17">
        <v>41829</v>
      </c>
      <c r="O3" s="17">
        <v>42072</v>
      </c>
      <c r="P3" s="4">
        <v>100</v>
      </c>
      <c r="Q3" s="4">
        <v>99.82</v>
      </c>
      <c r="R3" s="3"/>
    </row>
    <row r="4" spans="1:18" ht="69.95" customHeight="1" x14ac:dyDescent="0.25">
      <c r="A4" s="8">
        <v>2012002700005</v>
      </c>
      <c r="B4" s="3" t="s">
        <v>504</v>
      </c>
      <c r="C4" s="3" t="s">
        <v>505</v>
      </c>
      <c r="D4" s="3" t="s">
        <v>506</v>
      </c>
      <c r="E4" s="3" t="s">
        <v>92</v>
      </c>
      <c r="F4" s="3" t="s">
        <v>215</v>
      </c>
      <c r="G4" s="3" t="s">
        <v>57</v>
      </c>
      <c r="H4" s="19" t="s">
        <v>444</v>
      </c>
      <c r="I4" s="4">
        <v>924979909</v>
      </c>
      <c r="J4" s="4">
        <v>30000000</v>
      </c>
      <c r="K4" s="4">
        <v>954979909</v>
      </c>
      <c r="L4" s="17">
        <v>41191</v>
      </c>
      <c r="M4" s="17"/>
      <c r="N4" s="17">
        <v>41304</v>
      </c>
      <c r="O4" s="17">
        <v>41452</v>
      </c>
      <c r="P4" s="4">
        <v>100</v>
      </c>
      <c r="Q4" s="4">
        <v>0</v>
      </c>
      <c r="R4" s="3"/>
    </row>
    <row r="5" spans="1:18" ht="69.95" customHeight="1" x14ac:dyDescent="0.25">
      <c r="A5" s="3" t="s">
        <v>507</v>
      </c>
      <c r="B5" s="3" t="s">
        <v>508</v>
      </c>
      <c r="C5" s="3" t="s">
        <v>509</v>
      </c>
      <c r="D5" s="3" t="s">
        <v>510</v>
      </c>
      <c r="E5" s="3" t="s">
        <v>92</v>
      </c>
      <c r="F5" s="3" t="s">
        <v>215</v>
      </c>
      <c r="G5" s="3" t="s">
        <v>57</v>
      </c>
      <c r="H5" s="3" t="s">
        <v>503</v>
      </c>
      <c r="I5" s="4">
        <v>999998309</v>
      </c>
      <c r="J5" s="4">
        <v>11000000</v>
      </c>
      <c r="K5" s="4">
        <v>1010998309</v>
      </c>
      <c r="L5" s="17">
        <v>41191</v>
      </c>
      <c r="M5" s="17"/>
      <c r="N5" s="17">
        <v>41276</v>
      </c>
      <c r="O5" s="17">
        <v>41355</v>
      </c>
      <c r="P5" s="4">
        <v>98.9</v>
      </c>
      <c r="Q5" s="4">
        <v>98.2</v>
      </c>
      <c r="R5" s="3"/>
    </row>
    <row r="6" spans="1:18" ht="69.95" customHeight="1" x14ac:dyDescent="0.25">
      <c r="A6" s="3" t="s">
        <v>511</v>
      </c>
      <c r="B6" s="3" t="s">
        <v>512</v>
      </c>
      <c r="C6" s="3" t="s">
        <v>513</v>
      </c>
      <c r="D6" s="3" t="s">
        <v>514</v>
      </c>
      <c r="E6" s="3" t="s">
        <v>92</v>
      </c>
      <c r="F6" s="3" t="s">
        <v>60</v>
      </c>
      <c r="G6" s="3" t="s">
        <v>57</v>
      </c>
      <c r="H6" s="3" t="s">
        <v>503</v>
      </c>
      <c r="I6" s="4">
        <v>16567304387</v>
      </c>
      <c r="J6" s="4">
        <v>0</v>
      </c>
      <c r="K6" s="4">
        <v>16567304387</v>
      </c>
      <c r="L6" s="17">
        <v>41533</v>
      </c>
      <c r="M6" s="17"/>
      <c r="N6" s="17">
        <v>41537</v>
      </c>
      <c r="O6" s="17">
        <v>41669</v>
      </c>
      <c r="P6" s="4">
        <v>100</v>
      </c>
      <c r="Q6" s="4">
        <v>99.98</v>
      </c>
      <c r="R6" s="3"/>
    </row>
    <row r="7" spans="1:18" ht="69.95" customHeight="1" x14ac:dyDescent="0.25">
      <c r="A7" s="3" t="s">
        <v>515</v>
      </c>
      <c r="B7" s="3" t="s">
        <v>508</v>
      </c>
      <c r="C7" s="3" t="s">
        <v>516</v>
      </c>
      <c r="D7" s="3" t="s">
        <v>517</v>
      </c>
      <c r="E7" s="3" t="s">
        <v>92</v>
      </c>
      <c r="F7" s="3" t="s">
        <v>518</v>
      </c>
      <c r="G7" s="3" t="s">
        <v>57</v>
      </c>
      <c r="H7" s="19" t="s">
        <v>444</v>
      </c>
      <c r="I7" s="4">
        <v>12429000000</v>
      </c>
      <c r="J7" s="4">
        <v>159110083</v>
      </c>
      <c r="K7" s="4">
        <v>12588110083</v>
      </c>
      <c r="L7" s="17">
        <v>41907</v>
      </c>
      <c r="M7" s="17"/>
      <c r="N7" s="17">
        <v>42821</v>
      </c>
      <c r="O7" s="17">
        <v>42226</v>
      </c>
      <c r="P7" s="4">
        <v>100</v>
      </c>
      <c r="Q7" s="4">
        <v>99.51</v>
      </c>
      <c r="R7" s="3"/>
    </row>
    <row r="8" spans="1:18" ht="69.95" customHeight="1" x14ac:dyDescent="0.25">
      <c r="A8" s="3" t="s">
        <v>519</v>
      </c>
      <c r="B8" s="3" t="s">
        <v>520</v>
      </c>
      <c r="C8" s="3" t="s">
        <v>521</v>
      </c>
      <c r="D8" s="3" t="s">
        <v>522</v>
      </c>
      <c r="E8" s="3" t="s">
        <v>349</v>
      </c>
      <c r="F8" s="3" t="s">
        <v>60</v>
      </c>
      <c r="G8" s="3" t="s">
        <v>68</v>
      </c>
      <c r="H8" s="19" t="s">
        <v>458</v>
      </c>
      <c r="I8" s="4">
        <v>14996018261</v>
      </c>
      <c r="J8" s="4">
        <v>0</v>
      </c>
      <c r="K8" s="4">
        <v>14996018261</v>
      </c>
      <c r="L8" s="17">
        <v>41376</v>
      </c>
      <c r="M8" s="17"/>
      <c r="N8" s="17">
        <v>41380</v>
      </c>
      <c r="O8" s="17">
        <v>41676</v>
      </c>
      <c r="P8" s="4">
        <v>45.35</v>
      </c>
      <c r="Q8" s="4">
        <v>49.54</v>
      </c>
      <c r="R8" s="3"/>
    </row>
    <row r="9" spans="1:18" ht="69.95" customHeight="1" x14ac:dyDescent="0.25">
      <c r="A9" s="3" t="s">
        <v>523</v>
      </c>
      <c r="B9" s="3" t="s">
        <v>524</v>
      </c>
      <c r="C9" s="3" t="s">
        <v>525</v>
      </c>
      <c r="D9" s="3" t="s">
        <v>526</v>
      </c>
      <c r="E9" s="3" t="s">
        <v>92</v>
      </c>
      <c r="F9" s="3" t="s">
        <v>527</v>
      </c>
      <c r="G9" s="3" t="s">
        <v>57</v>
      </c>
      <c r="H9" s="19" t="s">
        <v>453</v>
      </c>
      <c r="I9" s="4">
        <v>14913362760</v>
      </c>
      <c r="J9" s="4">
        <v>0</v>
      </c>
      <c r="K9" s="4">
        <v>14913362760</v>
      </c>
      <c r="L9" s="17">
        <v>41907</v>
      </c>
      <c r="M9" s="17"/>
      <c r="N9" s="17">
        <v>42990</v>
      </c>
      <c r="O9" s="17">
        <v>42023</v>
      </c>
      <c r="P9" s="4">
        <v>99.99</v>
      </c>
      <c r="Q9" s="4">
        <v>99.56</v>
      </c>
      <c r="R9" s="3"/>
    </row>
    <row r="10" spans="1:18" ht="69.95" customHeight="1" x14ac:dyDescent="0.25">
      <c r="A10" s="3" t="s">
        <v>528</v>
      </c>
      <c r="B10" s="3" t="s">
        <v>529</v>
      </c>
      <c r="C10" s="3" t="s">
        <v>530</v>
      </c>
      <c r="D10" s="3" t="s">
        <v>531</v>
      </c>
      <c r="E10" s="3" t="s">
        <v>92</v>
      </c>
      <c r="F10" s="3" t="s">
        <v>532</v>
      </c>
      <c r="G10" s="3" t="s">
        <v>57</v>
      </c>
      <c r="H10" s="19" t="s">
        <v>444</v>
      </c>
      <c r="I10" s="4">
        <v>7037696704</v>
      </c>
      <c r="J10" s="4">
        <v>700920310</v>
      </c>
      <c r="K10" s="4">
        <v>7738617014</v>
      </c>
      <c r="L10" s="17">
        <v>41907</v>
      </c>
      <c r="M10" s="17"/>
      <c r="N10" s="17">
        <v>42006</v>
      </c>
      <c r="O10" s="17">
        <v>42060</v>
      </c>
      <c r="P10" s="4">
        <v>100</v>
      </c>
      <c r="Q10" s="4">
        <v>85.88</v>
      </c>
      <c r="R10" s="3"/>
    </row>
    <row r="11" spans="1:18" ht="69.95" customHeight="1" x14ac:dyDescent="0.25">
      <c r="A11" s="3" t="s">
        <v>533</v>
      </c>
      <c r="B11" s="3" t="s">
        <v>534</v>
      </c>
      <c r="C11" s="3" t="s">
        <v>535</v>
      </c>
      <c r="D11" s="3" t="s">
        <v>536</v>
      </c>
      <c r="E11" s="3" t="s">
        <v>66</v>
      </c>
      <c r="F11" s="3" t="s">
        <v>104</v>
      </c>
      <c r="G11" s="3" t="s">
        <v>57</v>
      </c>
      <c r="H11" s="3" t="s">
        <v>444</v>
      </c>
      <c r="I11" s="4">
        <v>13800000000</v>
      </c>
      <c r="J11" s="4">
        <v>2151400000</v>
      </c>
      <c r="K11" s="4">
        <v>15951400000</v>
      </c>
      <c r="L11" s="17">
        <v>41789</v>
      </c>
      <c r="M11" s="17"/>
      <c r="N11" s="17">
        <v>44936</v>
      </c>
      <c r="O11" s="17">
        <v>42128</v>
      </c>
      <c r="P11" s="4">
        <v>95.56</v>
      </c>
      <c r="Q11" s="4">
        <v>89.9</v>
      </c>
      <c r="R11" s="3"/>
    </row>
    <row r="12" spans="1:18" ht="69.95" customHeight="1" x14ac:dyDescent="0.25">
      <c r="A12" s="3" t="s">
        <v>537</v>
      </c>
      <c r="B12" s="3" t="s">
        <v>538</v>
      </c>
      <c r="C12" s="3" t="s">
        <v>539</v>
      </c>
      <c r="D12" s="3" t="s">
        <v>540</v>
      </c>
      <c r="E12" s="3" t="s">
        <v>92</v>
      </c>
      <c r="F12" s="3" t="s">
        <v>541</v>
      </c>
      <c r="G12" s="3" t="s">
        <v>57</v>
      </c>
      <c r="H12" s="19" t="s">
        <v>444</v>
      </c>
      <c r="I12" s="4">
        <v>16094650077</v>
      </c>
      <c r="J12" s="4">
        <v>312767700</v>
      </c>
      <c r="K12" s="4">
        <v>16407417777</v>
      </c>
      <c r="L12" s="17">
        <v>43389</v>
      </c>
      <c r="M12" s="17"/>
      <c r="N12" s="17">
        <v>43495</v>
      </c>
      <c r="O12" s="17">
        <v>43865</v>
      </c>
      <c r="P12" s="4">
        <v>99.69</v>
      </c>
      <c r="Q12" s="4">
        <v>97.78</v>
      </c>
      <c r="R12" s="3"/>
    </row>
    <row r="13" spans="1:18" ht="69.95" customHeight="1" x14ac:dyDescent="0.25">
      <c r="A13" s="3" t="s">
        <v>542</v>
      </c>
      <c r="B13" s="3" t="s">
        <v>543</v>
      </c>
      <c r="C13" s="3" t="s">
        <v>544</v>
      </c>
      <c r="D13" s="3" t="s">
        <v>545</v>
      </c>
      <c r="E13" s="3" t="s">
        <v>92</v>
      </c>
      <c r="F13" s="3" t="s">
        <v>546</v>
      </c>
      <c r="G13" s="3" t="s">
        <v>57</v>
      </c>
      <c r="H13" s="3" t="s">
        <v>547</v>
      </c>
      <c r="I13" s="4">
        <v>54337268559</v>
      </c>
      <c r="J13" s="4">
        <v>8559008426</v>
      </c>
      <c r="K13" s="4">
        <v>62896276985</v>
      </c>
      <c r="L13" s="17">
        <v>43165</v>
      </c>
      <c r="M13" s="17"/>
      <c r="N13" s="17">
        <v>43171</v>
      </c>
      <c r="O13" s="17">
        <v>43410</v>
      </c>
      <c r="P13" s="4">
        <v>100</v>
      </c>
      <c r="Q13" s="4">
        <v>99.87</v>
      </c>
      <c r="R13" s="3"/>
    </row>
    <row r="14" spans="1:18" ht="69.95" customHeight="1" x14ac:dyDescent="0.25">
      <c r="A14" s="3" t="s">
        <v>548</v>
      </c>
      <c r="B14" s="3" t="s">
        <v>549</v>
      </c>
      <c r="C14" s="3" t="s">
        <v>550</v>
      </c>
      <c r="D14" s="3" t="s">
        <v>551</v>
      </c>
      <c r="E14" s="3" t="s">
        <v>92</v>
      </c>
      <c r="F14" s="3" t="s">
        <v>552</v>
      </c>
      <c r="G14" s="3" t="s">
        <v>68</v>
      </c>
      <c r="H14" s="20" t="s">
        <v>444</v>
      </c>
      <c r="I14" s="4">
        <v>5261488233</v>
      </c>
      <c r="J14" s="4">
        <v>100000000</v>
      </c>
      <c r="K14" s="4">
        <v>5361488233</v>
      </c>
      <c r="L14" s="17">
        <v>43636</v>
      </c>
      <c r="M14" s="17"/>
      <c r="N14" s="17">
        <v>43955</v>
      </c>
      <c r="O14" s="17">
        <v>44138</v>
      </c>
      <c r="P14" s="4">
        <v>97.82</v>
      </c>
      <c r="Q14" s="4">
        <v>95.45</v>
      </c>
      <c r="R14" s="3"/>
    </row>
    <row r="15" spans="1:18" ht="69.95" customHeight="1" x14ac:dyDescent="0.25">
      <c r="A15" s="3" t="s">
        <v>553</v>
      </c>
      <c r="B15" s="3" t="s">
        <v>554</v>
      </c>
      <c r="C15" s="3" t="s">
        <v>555</v>
      </c>
      <c r="D15" s="3" t="s">
        <v>556</v>
      </c>
      <c r="E15" s="3" t="s">
        <v>135</v>
      </c>
      <c r="F15" s="3" t="s">
        <v>60</v>
      </c>
      <c r="G15" s="3" t="s">
        <v>57</v>
      </c>
      <c r="H15" s="19" t="s">
        <v>444</v>
      </c>
      <c r="I15" s="4">
        <v>8077068482</v>
      </c>
      <c r="J15" s="4">
        <v>0</v>
      </c>
      <c r="K15" s="4">
        <v>8077068482</v>
      </c>
      <c r="L15" s="17">
        <v>43829</v>
      </c>
      <c r="M15" s="17"/>
      <c r="N15" s="17">
        <v>43843</v>
      </c>
      <c r="O15" s="17">
        <v>44042</v>
      </c>
      <c r="P15" s="4">
        <v>99.99</v>
      </c>
      <c r="Q15" s="4">
        <v>99.97</v>
      </c>
      <c r="R15" s="3"/>
    </row>
    <row r="16" spans="1:18" ht="69.95" customHeight="1" x14ac:dyDescent="0.25">
      <c r="A16" s="3" t="s">
        <v>557</v>
      </c>
      <c r="B16" s="3" t="s">
        <v>558</v>
      </c>
      <c r="C16" s="3" t="s">
        <v>559</v>
      </c>
      <c r="D16" s="3" t="s">
        <v>560</v>
      </c>
      <c r="E16" s="3" t="s">
        <v>66</v>
      </c>
      <c r="F16" s="3" t="s">
        <v>104</v>
      </c>
      <c r="G16" s="3" t="s">
        <v>68</v>
      </c>
      <c r="H16" s="3" t="s">
        <v>453</v>
      </c>
      <c r="I16" s="4">
        <v>7750000000</v>
      </c>
      <c r="J16" s="4">
        <v>0</v>
      </c>
      <c r="K16" s="4">
        <v>7750000000</v>
      </c>
      <c r="L16" s="17">
        <v>43781</v>
      </c>
      <c r="M16" s="17"/>
      <c r="N16" s="17">
        <v>43809</v>
      </c>
      <c r="O16" s="17">
        <v>43831</v>
      </c>
      <c r="P16" s="4">
        <v>97.9</v>
      </c>
      <c r="Q16" s="4">
        <v>97.25</v>
      </c>
      <c r="R16" s="3"/>
    </row>
    <row r="17" spans="1:18" ht="69.95" customHeight="1" x14ac:dyDescent="0.25">
      <c r="A17" s="3" t="s">
        <v>561</v>
      </c>
      <c r="B17" s="3" t="s">
        <v>562</v>
      </c>
      <c r="C17" s="3" t="s">
        <v>563</v>
      </c>
      <c r="D17" s="3" t="s">
        <v>564</v>
      </c>
      <c r="E17" s="3" t="s">
        <v>66</v>
      </c>
      <c r="F17" s="3" t="s">
        <v>104</v>
      </c>
      <c r="G17" s="3" t="s">
        <v>68</v>
      </c>
      <c r="H17" s="3" t="s">
        <v>490</v>
      </c>
      <c r="I17" s="4">
        <v>1027100000</v>
      </c>
      <c r="J17" s="4">
        <v>100575000</v>
      </c>
      <c r="K17" s="4">
        <v>1127675000</v>
      </c>
      <c r="L17" s="17">
        <v>43781</v>
      </c>
      <c r="M17" s="17"/>
      <c r="N17" s="17">
        <v>43948</v>
      </c>
      <c r="O17" s="17">
        <v>44223</v>
      </c>
      <c r="P17" s="4">
        <v>96.9</v>
      </c>
      <c r="Q17" s="4">
        <v>97.16</v>
      </c>
      <c r="R17" s="3"/>
    </row>
    <row r="18" spans="1:18" ht="69.95" customHeight="1" x14ac:dyDescent="0.25">
      <c r="A18" s="3" t="s">
        <v>565</v>
      </c>
      <c r="B18" s="3" t="s">
        <v>566</v>
      </c>
      <c r="C18" s="3" t="s">
        <v>567</v>
      </c>
      <c r="D18" s="3" t="s">
        <v>568</v>
      </c>
      <c r="E18" s="3" t="s">
        <v>66</v>
      </c>
      <c r="F18" s="3" t="s">
        <v>104</v>
      </c>
      <c r="G18" s="3" t="s">
        <v>68</v>
      </c>
      <c r="H18" s="3" t="s">
        <v>453</v>
      </c>
      <c r="I18" s="4">
        <v>9491491960</v>
      </c>
      <c r="J18" s="4">
        <v>443750000</v>
      </c>
      <c r="K18" s="4">
        <v>9935241960</v>
      </c>
      <c r="L18" s="17">
        <v>43781</v>
      </c>
      <c r="M18" s="17"/>
      <c r="N18" s="17">
        <v>43872</v>
      </c>
      <c r="O18" s="17">
        <v>43979</v>
      </c>
      <c r="P18" s="4">
        <v>85.67</v>
      </c>
      <c r="Q18" s="4">
        <v>86.62</v>
      </c>
      <c r="R18" s="3"/>
    </row>
    <row r="19" spans="1:18" ht="69.95" customHeight="1" x14ac:dyDescent="0.25">
      <c r="A19" s="3" t="s">
        <v>569</v>
      </c>
      <c r="B19" s="3" t="s">
        <v>570</v>
      </c>
      <c r="C19" s="3" t="s">
        <v>571</v>
      </c>
      <c r="D19" s="3" t="s">
        <v>572</v>
      </c>
      <c r="E19" s="3" t="s">
        <v>66</v>
      </c>
      <c r="F19" s="3" t="s">
        <v>104</v>
      </c>
      <c r="G19" s="3" t="s">
        <v>68</v>
      </c>
      <c r="H19" s="3" t="s">
        <v>453</v>
      </c>
      <c r="I19" s="4">
        <v>4024500000</v>
      </c>
      <c r="J19" s="4">
        <v>177500000</v>
      </c>
      <c r="K19" s="4">
        <v>4202000000</v>
      </c>
      <c r="L19" s="17">
        <v>43781</v>
      </c>
      <c r="M19" s="17"/>
      <c r="N19" s="17">
        <v>43812</v>
      </c>
      <c r="O19" s="17">
        <v>43958</v>
      </c>
      <c r="P19" s="4">
        <v>96.81</v>
      </c>
      <c r="Q19" s="4">
        <v>77.59</v>
      </c>
      <c r="R19" s="3"/>
    </row>
    <row r="20" spans="1:18" ht="69.95" customHeight="1" x14ac:dyDescent="0.25">
      <c r="A20" s="3" t="s">
        <v>573</v>
      </c>
      <c r="B20" s="3" t="s">
        <v>574</v>
      </c>
      <c r="C20" s="3" t="s">
        <v>575</v>
      </c>
      <c r="D20" s="3" t="s">
        <v>576</v>
      </c>
      <c r="E20" s="3" t="s">
        <v>66</v>
      </c>
      <c r="F20" s="3" t="s">
        <v>70</v>
      </c>
      <c r="G20" s="3" t="s">
        <v>68</v>
      </c>
      <c r="H20" s="3" t="s">
        <v>453</v>
      </c>
      <c r="I20" s="4">
        <v>20233937500</v>
      </c>
      <c r="J20" s="4">
        <v>928127000</v>
      </c>
      <c r="K20" s="4">
        <v>21162064500</v>
      </c>
      <c r="L20" s="17">
        <v>43781</v>
      </c>
      <c r="M20" s="17"/>
      <c r="N20" s="17">
        <v>43902</v>
      </c>
      <c r="O20" s="17">
        <v>43943</v>
      </c>
      <c r="P20" s="4">
        <v>82.93</v>
      </c>
      <c r="Q20" s="4">
        <v>181.2</v>
      </c>
      <c r="R20" s="3"/>
    </row>
    <row r="21" spans="1:18" ht="69.95" customHeight="1" x14ac:dyDescent="0.25">
      <c r="A21" s="3" t="s">
        <v>577</v>
      </c>
      <c r="B21" s="3" t="s">
        <v>578</v>
      </c>
      <c r="C21" s="3" t="s">
        <v>579</v>
      </c>
      <c r="D21" s="3" t="s">
        <v>580</v>
      </c>
      <c r="E21" s="3" t="s">
        <v>66</v>
      </c>
      <c r="F21" s="3" t="s">
        <v>70</v>
      </c>
      <c r="G21" s="3" t="s">
        <v>68</v>
      </c>
      <c r="H21" s="3" t="s">
        <v>453</v>
      </c>
      <c r="I21" s="4">
        <v>6524500000</v>
      </c>
      <c r="J21" s="4">
        <v>0</v>
      </c>
      <c r="K21" s="4">
        <v>6524500000</v>
      </c>
      <c r="L21" s="17">
        <v>43781</v>
      </c>
      <c r="M21" s="17"/>
      <c r="N21" s="17">
        <v>43969</v>
      </c>
      <c r="O21" s="17">
        <v>43949</v>
      </c>
      <c r="P21" s="4">
        <v>89.97</v>
      </c>
      <c r="Q21" s="4">
        <v>89.3</v>
      </c>
      <c r="R21" s="3"/>
    </row>
    <row r="22" spans="1:18" ht="69.95" customHeight="1" x14ac:dyDescent="0.25">
      <c r="A22" s="3" t="s">
        <v>581</v>
      </c>
      <c r="B22" s="3" t="s">
        <v>582</v>
      </c>
      <c r="C22" s="3" t="s">
        <v>583</v>
      </c>
      <c r="D22" s="3" t="s">
        <v>584</v>
      </c>
      <c r="E22" s="3" t="s">
        <v>66</v>
      </c>
      <c r="F22" s="3" t="s">
        <v>104</v>
      </c>
      <c r="G22" s="3" t="s">
        <v>68</v>
      </c>
      <c r="H22" s="3" t="s">
        <v>453</v>
      </c>
      <c r="I22" s="4">
        <v>2500000000</v>
      </c>
      <c r="J22" s="4">
        <v>88750000</v>
      </c>
      <c r="K22" s="4">
        <v>2588750000</v>
      </c>
      <c r="L22" s="17">
        <v>43812</v>
      </c>
      <c r="M22" s="17"/>
      <c r="N22" s="17">
        <v>43902</v>
      </c>
      <c r="O22" s="17">
        <v>43938</v>
      </c>
      <c r="P22" s="4">
        <v>97.52</v>
      </c>
      <c r="Q22" s="4">
        <v>97.57</v>
      </c>
      <c r="R22" s="3"/>
    </row>
    <row r="23" spans="1:18" ht="69.95" customHeight="1" x14ac:dyDescent="0.25">
      <c r="A23" s="3" t="s">
        <v>585</v>
      </c>
      <c r="B23" s="3" t="s">
        <v>586</v>
      </c>
      <c r="C23" s="3" t="s">
        <v>587</v>
      </c>
      <c r="D23" s="3" t="s">
        <v>588</v>
      </c>
      <c r="E23" s="3" t="s">
        <v>66</v>
      </c>
      <c r="F23" s="3" t="s">
        <v>104</v>
      </c>
      <c r="G23" s="3" t="s">
        <v>68</v>
      </c>
      <c r="H23" s="3" t="s">
        <v>453</v>
      </c>
      <c r="I23" s="4">
        <v>3500000000</v>
      </c>
      <c r="J23" s="4">
        <v>654449000</v>
      </c>
      <c r="K23" s="4">
        <v>4154449000</v>
      </c>
      <c r="L23" s="17">
        <v>43812</v>
      </c>
      <c r="M23" s="17"/>
      <c r="N23" s="17">
        <v>43864</v>
      </c>
      <c r="O23" s="17">
        <v>44742</v>
      </c>
      <c r="P23" s="4">
        <v>99</v>
      </c>
      <c r="Q23" s="4">
        <v>91.85</v>
      </c>
      <c r="R23" s="3"/>
    </row>
    <row r="24" spans="1:18" ht="69.95" customHeight="1" x14ac:dyDescent="0.25">
      <c r="A24" s="3" t="s">
        <v>589</v>
      </c>
      <c r="B24" s="3" t="s">
        <v>590</v>
      </c>
      <c r="C24" s="3" t="s">
        <v>591</v>
      </c>
      <c r="D24" s="3" t="s">
        <v>592</v>
      </c>
      <c r="E24" s="3" t="s">
        <v>66</v>
      </c>
      <c r="F24" s="3" t="s">
        <v>104</v>
      </c>
      <c r="G24" s="3" t="s">
        <v>68</v>
      </c>
      <c r="H24" s="3" t="s">
        <v>453</v>
      </c>
      <c r="I24" s="4">
        <v>3250000000</v>
      </c>
      <c r="J24" s="4">
        <v>227139308</v>
      </c>
      <c r="K24" s="4">
        <v>3477139308</v>
      </c>
      <c r="L24" s="17">
        <v>43798</v>
      </c>
      <c r="M24" s="17"/>
      <c r="N24" s="17">
        <v>43882</v>
      </c>
      <c r="O24" s="17">
        <v>43957</v>
      </c>
      <c r="P24" s="4">
        <v>97.39</v>
      </c>
      <c r="Q24" s="4">
        <v>95.75</v>
      </c>
      <c r="R24" s="3"/>
    </row>
    <row r="25" spans="1:18" ht="69.95" customHeight="1" x14ac:dyDescent="0.25">
      <c r="A25" s="3" t="s">
        <v>593</v>
      </c>
      <c r="B25" s="3" t="s">
        <v>594</v>
      </c>
      <c r="C25" s="3" t="s">
        <v>595</v>
      </c>
      <c r="D25" s="3" t="s">
        <v>596</v>
      </c>
      <c r="E25" s="3" t="s">
        <v>66</v>
      </c>
      <c r="F25" s="3" t="s">
        <v>104</v>
      </c>
      <c r="G25" s="3" t="s">
        <v>68</v>
      </c>
      <c r="H25" s="3" t="s">
        <v>453</v>
      </c>
      <c r="I25" s="4">
        <v>946000000</v>
      </c>
      <c r="J25" s="4">
        <v>44375000</v>
      </c>
      <c r="K25" s="4">
        <v>990375000</v>
      </c>
      <c r="L25" s="17">
        <v>43812</v>
      </c>
      <c r="M25" s="17"/>
      <c r="N25" s="17">
        <v>44043</v>
      </c>
      <c r="O25" s="17">
        <v>43991</v>
      </c>
      <c r="P25" s="4">
        <v>97.54</v>
      </c>
      <c r="Q25" s="4">
        <v>97.23</v>
      </c>
      <c r="R25" s="3"/>
    </row>
    <row r="26" spans="1:18" ht="69.95" customHeight="1" x14ac:dyDescent="0.25">
      <c r="A26" s="3" t="s">
        <v>597</v>
      </c>
      <c r="B26" s="3" t="s">
        <v>598</v>
      </c>
      <c r="C26" s="3" t="s">
        <v>599</v>
      </c>
      <c r="D26" s="3" t="s">
        <v>600</v>
      </c>
      <c r="E26" s="3" t="s">
        <v>66</v>
      </c>
      <c r="F26" s="3" t="s">
        <v>104</v>
      </c>
      <c r="G26" s="3" t="s">
        <v>68</v>
      </c>
      <c r="H26" s="3" t="s">
        <v>453</v>
      </c>
      <c r="I26" s="4">
        <v>1943625000</v>
      </c>
      <c r="J26" s="4">
        <v>88750000</v>
      </c>
      <c r="K26" s="4">
        <v>2032375000</v>
      </c>
      <c r="L26" s="17">
        <v>43830</v>
      </c>
      <c r="M26" s="17"/>
      <c r="N26" s="17">
        <v>44025</v>
      </c>
      <c r="O26" s="17">
        <v>44046</v>
      </c>
      <c r="P26" s="4">
        <v>87.5</v>
      </c>
      <c r="Q26" s="4">
        <v>86.53</v>
      </c>
      <c r="R26" s="3"/>
    </row>
    <row r="27" spans="1:18" ht="69.95" customHeight="1" x14ac:dyDescent="0.25">
      <c r="A27" s="3" t="s">
        <v>601</v>
      </c>
      <c r="B27" s="3" t="s">
        <v>602</v>
      </c>
      <c r="C27" s="3" t="s">
        <v>603</v>
      </c>
      <c r="D27" s="3" t="s">
        <v>604</v>
      </c>
      <c r="E27" s="3" t="s">
        <v>66</v>
      </c>
      <c r="F27" s="3" t="s">
        <v>104</v>
      </c>
      <c r="G27" s="3" t="s">
        <v>68</v>
      </c>
      <c r="H27" s="3" t="s">
        <v>453</v>
      </c>
      <c r="I27" s="4">
        <v>1999999962.27</v>
      </c>
      <c r="J27" s="4">
        <v>667064931.65999985</v>
      </c>
      <c r="K27" s="4">
        <v>2667064893.9299998</v>
      </c>
      <c r="L27" s="17">
        <v>44111</v>
      </c>
      <c r="M27" s="17"/>
      <c r="N27" s="17">
        <v>44319</v>
      </c>
      <c r="O27" s="17">
        <v>44448</v>
      </c>
      <c r="P27" s="4">
        <v>86.98</v>
      </c>
      <c r="Q27" s="4">
        <v>87.69</v>
      </c>
      <c r="R27" s="3"/>
    </row>
    <row r="28" spans="1:18" ht="69.95" customHeight="1" x14ac:dyDescent="0.25">
      <c r="A28" s="3" t="s">
        <v>605</v>
      </c>
      <c r="B28" s="3" t="s">
        <v>606</v>
      </c>
      <c r="C28" s="3" t="s">
        <v>607</v>
      </c>
      <c r="D28" s="3" t="s">
        <v>608</v>
      </c>
      <c r="E28" s="3" t="s">
        <v>55</v>
      </c>
      <c r="F28" s="3" t="s">
        <v>609</v>
      </c>
      <c r="G28" s="3" t="s">
        <v>57</v>
      </c>
      <c r="H28" s="19" t="s">
        <v>444</v>
      </c>
      <c r="I28" s="4">
        <v>729826686</v>
      </c>
      <c r="J28" s="4">
        <v>465734861</v>
      </c>
      <c r="K28" s="4">
        <v>1195561547</v>
      </c>
      <c r="L28" s="17">
        <v>43825</v>
      </c>
      <c r="M28" s="17"/>
      <c r="N28" s="17">
        <v>43875</v>
      </c>
      <c r="O28" s="17">
        <v>44074</v>
      </c>
      <c r="P28" s="4">
        <v>100</v>
      </c>
      <c r="Q28" s="4">
        <v>99.24</v>
      </c>
      <c r="R28" s="3"/>
    </row>
    <row r="29" spans="1:18" ht="69.95" customHeight="1" x14ac:dyDescent="0.25">
      <c r="A29" s="3" t="s">
        <v>610</v>
      </c>
      <c r="B29" s="3" t="s">
        <v>538</v>
      </c>
      <c r="C29" s="3" t="s">
        <v>611</v>
      </c>
      <c r="D29" s="3" t="s">
        <v>612</v>
      </c>
      <c r="E29" s="3" t="s">
        <v>253</v>
      </c>
      <c r="F29" s="3" t="s">
        <v>613</v>
      </c>
      <c r="G29" s="3" t="s">
        <v>57</v>
      </c>
      <c r="H29" s="19" t="s">
        <v>444</v>
      </c>
      <c r="I29" s="4">
        <v>37141732473</v>
      </c>
      <c r="J29" s="4">
        <v>0</v>
      </c>
      <c r="K29" s="4">
        <v>37141732473</v>
      </c>
      <c r="L29" s="17">
        <v>43812</v>
      </c>
      <c r="M29" s="17"/>
      <c r="N29" s="17">
        <v>43817</v>
      </c>
      <c r="O29" s="17">
        <v>44228</v>
      </c>
      <c r="P29" s="4">
        <v>99.87</v>
      </c>
      <c r="Q29" s="4">
        <v>97.75</v>
      </c>
      <c r="R29" s="3"/>
    </row>
    <row r="30" spans="1:18" ht="69.95" customHeight="1" x14ac:dyDescent="0.25">
      <c r="A30" s="3" t="s">
        <v>614</v>
      </c>
      <c r="B30" s="3" t="s">
        <v>508</v>
      </c>
      <c r="C30" s="3" t="s">
        <v>615</v>
      </c>
      <c r="D30" s="3" t="s">
        <v>616</v>
      </c>
      <c r="E30" s="3" t="s">
        <v>92</v>
      </c>
      <c r="F30" s="3" t="s">
        <v>165</v>
      </c>
      <c r="G30" s="3" t="s">
        <v>68</v>
      </c>
      <c r="H30" s="20" t="s">
        <v>453</v>
      </c>
      <c r="I30" s="4">
        <v>22507978719</v>
      </c>
      <c r="J30" s="4">
        <v>0</v>
      </c>
      <c r="K30" s="4">
        <v>22507978719</v>
      </c>
      <c r="L30" s="17">
        <v>44536</v>
      </c>
      <c r="M30" s="17"/>
      <c r="N30" s="17">
        <v>44683</v>
      </c>
      <c r="O30" s="17">
        <v>44837</v>
      </c>
      <c r="P30" s="4">
        <v>97.89</v>
      </c>
      <c r="Q30" s="4">
        <v>93.98</v>
      </c>
      <c r="R30" s="3"/>
    </row>
    <row r="31" spans="1:18" ht="69.95" customHeight="1" x14ac:dyDescent="0.25">
      <c r="A31" s="3" t="s">
        <v>617</v>
      </c>
      <c r="B31" s="3" t="s">
        <v>618</v>
      </c>
      <c r="C31" s="3" t="s">
        <v>619</v>
      </c>
      <c r="D31" s="3" t="s">
        <v>620</v>
      </c>
      <c r="E31" s="3" t="s">
        <v>92</v>
      </c>
      <c r="F31" s="3" t="s">
        <v>621</v>
      </c>
      <c r="G31" s="3" t="s">
        <v>207</v>
      </c>
      <c r="H31" s="3" t="s">
        <v>503</v>
      </c>
      <c r="I31" s="4">
        <v>38700180208.470001</v>
      </c>
      <c r="J31" s="4">
        <v>236000000</v>
      </c>
      <c r="K31" s="4">
        <v>38936180208.470001</v>
      </c>
      <c r="L31" s="17">
        <v>44195</v>
      </c>
      <c r="M31" s="17"/>
      <c r="N31" s="17">
        <v>44952</v>
      </c>
      <c r="O31" s="17">
        <v>44595</v>
      </c>
      <c r="P31" s="4">
        <v>100</v>
      </c>
      <c r="Q31" s="4">
        <v>100</v>
      </c>
      <c r="R31" s="3"/>
    </row>
    <row r="32" spans="1:18" ht="69.95" customHeight="1" x14ac:dyDescent="0.25">
      <c r="A32" s="3" t="s">
        <v>622</v>
      </c>
      <c r="B32" s="3" t="s">
        <v>543</v>
      </c>
      <c r="C32" s="3" t="s">
        <v>623</v>
      </c>
      <c r="D32" s="3" t="s">
        <v>624</v>
      </c>
      <c r="E32" s="3" t="s">
        <v>92</v>
      </c>
      <c r="F32" s="3" t="s">
        <v>60</v>
      </c>
      <c r="G32" s="3" t="s">
        <v>57</v>
      </c>
      <c r="H32" s="19" t="s">
        <v>444</v>
      </c>
      <c r="I32" s="4">
        <v>75409582200</v>
      </c>
      <c r="J32" s="4">
        <v>0</v>
      </c>
      <c r="K32" s="4">
        <v>75409582200</v>
      </c>
      <c r="L32" s="17">
        <v>44195</v>
      </c>
      <c r="M32" s="17"/>
      <c r="N32" s="17">
        <v>44326</v>
      </c>
      <c r="O32" s="17">
        <v>44445</v>
      </c>
      <c r="P32" s="4">
        <v>99.33</v>
      </c>
      <c r="Q32" s="4">
        <v>99.73</v>
      </c>
      <c r="R32" s="3"/>
    </row>
    <row r="33" spans="1:18" ht="69.95" customHeight="1" x14ac:dyDescent="0.25">
      <c r="A33" s="3" t="s">
        <v>625</v>
      </c>
      <c r="B33" s="3" t="s">
        <v>570</v>
      </c>
      <c r="C33" s="3" t="s">
        <v>626</v>
      </c>
      <c r="D33" s="3" t="s">
        <v>627</v>
      </c>
      <c r="E33" s="3" t="s">
        <v>66</v>
      </c>
      <c r="F33" s="3" t="s">
        <v>104</v>
      </c>
      <c r="G33" s="3" t="s">
        <v>57</v>
      </c>
      <c r="H33" s="3" t="s">
        <v>503</v>
      </c>
      <c r="I33" s="4">
        <v>1998000000</v>
      </c>
      <c r="J33" s="4">
        <v>416100000</v>
      </c>
      <c r="K33" s="4">
        <v>2414100000</v>
      </c>
      <c r="L33" s="17">
        <v>43950</v>
      </c>
      <c r="M33" s="17"/>
      <c r="N33" s="17">
        <v>44001</v>
      </c>
      <c r="O33" s="17">
        <v>44133</v>
      </c>
      <c r="P33" s="4">
        <v>100</v>
      </c>
      <c r="Q33" s="4">
        <v>100</v>
      </c>
      <c r="R33" s="3"/>
    </row>
    <row r="34" spans="1:18" ht="69.95" customHeight="1" x14ac:dyDescent="0.25">
      <c r="A34" s="3" t="s">
        <v>628</v>
      </c>
      <c r="B34" s="3" t="s">
        <v>570</v>
      </c>
      <c r="C34" s="3" t="s">
        <v>629</v>
      </c>
      <c r="D34" s="3" t="s">
        <v>630</v>
      </c>
      <c r="E34" s="3" t="s">
        <v>66</v>
      </c>
      <c r="F34" s="3" t="s">
        <v>104</v>
      </c>
      <c r="G34" s="3" t="s">
        <v>57</v>
      </c>
      <c r="H34" s="3" t="s">
        <v>453</v>
      </c>
      <c r="I34" s="4">
        <v>1999306318</v>
      </c>
      <c r="J34" s="4">
        <v>1491009306.72</v>
      </c>
      <c r="K34" s="4">
        <v>3490315624.7199998</v>
      </c>
      <c r="L34" s="17">
        <v>43924</v>
      </c>
      <c r="M34" s="17"/>
      <c r="N34" s="17">
        <v>44001</v>
      </c>
      <c r="O34" s="17">
        <v>44118</v>
      </c>
      <c r="P34" s="4">
        <v>100</v>
      </c>
      <c r="Q34" s="4">
        <v>100</v>
      </c>
      <c r="R34" s="3"/>
    </row>
    <row r="35" spans="1:18" ht="69.95" customHeight="1" x14ac:dyDescent="0.25">
      <c r="A35" s="3" t="s">
        <v>631</v>
      </c>
      <c r="B35" s="3" t="s">
        <v>632</v>
      </c>
      <c r="C35" s="3" t="s">
        <v>633</v>
      </c>
      <c r="D35" s="3" t="s">
        <v>634</v>
      </c>
      <c r="E35" s="3" t="s">
        <v>66</v>
      </c>
      <c r="F35" s="3" t="s">
        <v>104</v>
      </c>
      <c r="G35" s="3" t="s">
        <v>207</v>
      </c>
      <c r="H35" s="3" t="s">
        <v>503</v>
      </c>
      <c r="I35" s="4">
        <v>1999910691</v>
      </c>
      <c r="J35" s="4">
        <v>1839271262</v>
      </c>
      <c r="K35" s="4">
        <v>3839181953</v>
      </c>
      <c r="L35" s="17">
        <v>44078</v>
      </c>
      <c r="M35" s="17"/>
      <c r="N35" s="17">
        <v>45385</v>
      </c>
      <c r="O35" s="17">
        <v>44252</v>
      </c>
      <c r="P35" s="4">
        <v>99.9</v>
      </c>
      <c r="Q35" s="4">
        <v>100</v>
      </c>
      <c r="R35" s="3"/>
    </row>
    <row r="36" spans="1:18" ht="69.95" customHeight="1" x14ac:dyDescent="0.25">
      <c r="A36" s="3" t="s">
        <v>635</v>
      </c>
      <c r="B36" s="3" t="s">
        <v>636</v>
      </c>
      <c r="C36" s="3" t="s">
        <v>637</v>
      </c>
      <c r="D36" s="3" t="s">
        <v>638</v>
      </c>
      <c r="E36" s="3" t="s">
        <v>66</v>
      </c>
      <c r="F36" s="3" t="s">
        <v>104</v>
      </c>
      <c r="G36" s="3" t="s">
        <v>68</v>
      </c>
      <c r="H36" s="3" t="s">
        <v>444</v>
      </c>
      <c r="I36" s="4">
        <v>1999433630</v>
      </c>
      <c r="J36" s="4">
        <v>931051170</v>
      </c>
      <c r="K36" s="4">
        <v>2930484800</v>
      </c>
      <c r="L36" s="17">
        <v>43924</v>
      </c>
      <c r="M36" s="17"/>
      <c r="N36" s="17">
        <v>44106</v>
      </c>
      <c r="O36" s="17">
        <v>44106</v>
      </c>
      <c r="P36" s="4">
        <v>100</v>
      </c>
      <c r="Q36" s="4">
        <v>99.14</v>
      </c>
      <c r="R36" s="3"/>
    </row>
    <row r="37" spans="1:18" ht="69.95" customHeight="1" x14ac:dyDescent="0.25">
      <c r="A37" s="3" t="s">
        <v>639</v>
      </c>
      <c r="B37" s="3" t="s">
        <v>640</v>
      </c>
      <c r="C37" s="3" t="s">
        <v>641</v>
      </c>
      <c r="D37" s="3" t="s">
        <v>642</v>
      </c>
      <c r="E37" s="3" t="s">
        <v>66</v>
      </c>
      <c r="F37" s="3" t="s">
        <v>104</v>
      </c>
      <c r="G37" s="3" t="s">
        <v>68</v>
      </c>
      <c r="H37" s="3" t="s">
        <v>503</v>
      </c>
      <c r="I37" s="4">
        <v>1999976897</v>
      </c>
      <c r="J37" s="4">
        <v>612770516</v>
      </c>
      <c r="K37" s="4">
        <v>2612747413</v>
      </c>
      <c r="L37" s="17">
        <v>44078</v>
      </c>
      <c r="M37" s="17"/>
      <c r="N37" s="17">
        <v>44179</v>
      </c>
      <c r="O37" s="17">
        <v>44229</v>
      </c>
      <c r="P37" s="4">
        <v>65.69</v>
      </c>
      <c r="Q37" s="4">
        <v>76.930000000000007</v>
      </c>
      <c r="R37" s="3"/>
    </row>
    <row r="38" spans="1:18" ht="69.95" customHeight="1" x14ac:dyDescent="0.25">
      <c r="A38" s="3" t="s">
        <v>643</v>
      </c>
      <c r="B38" s="3" t="s">
        <v>644</v>
      </c>
      <c r="C38" s="3" t="s">
        <v>645</v>
      </c>
      <c r="D38" s="3" t="s">
        <v>646</v>
      </c>
      <c r="E38" s="3" t="s">
        <v>66</v>
      </c>
      <c r="F38" s="3" t="s">
        <v>104</v>
      </c>
      <c r="G38" s="3" t="s">
        <v>57</v>
      </c>
      <c r="H38" s="3" t="s">
        <v>453</v>
      </c>
      <c r="I38" s="4">
        <v>1272365336</v>
      </c>
      <c r="J38" s="4">
        <v>643306000</v>
      </c>
      <c r="K38" s="4">
        <v>1915671336</v>
      </c>
      <c r="L38" s="17">
        <v>44078</v>
      </c>
      <c r="M38" s="17"/>
      <c r="N38" s="29"/>
      <c r="O38" s="17">
        <v>44421</v>
      </c>
      <c r="P38" s="4">
        <v>97.49</v>
      </c>
      <c r="Q38" s="4">
        <v>101.36</v>
      </c>
      <c r="R38" s="3"/>
    </row>
    <row r="39" spans="1:18" ht="69.95" customHeight="1" x14ac:dyDescent="0.25">
      <c r="A39" s="3" t="s">
        <v>647</v>
      </c>
      <c r="B39" s="3" t="s">
        <v>648</v>
      </c>
      <c r="C39" s="3" t="s">
        <v>649</v>
      </c>
      <c r="D39" s="3" t="s">
        <v>650</v>
      </c>
      <c r="E39" s="3" t="s">
        <v>66</v>
      </c>
      <c r="F39" s="3" t="s">
        <v>104</v>
      </c>
      <c r="G39" s="3" t="s">
        <v>68</v>
      </c>
      <c r="H39" s="3" t="s">
        <v>503</v>
      </c>
      <c r="I39" s="4">
        <v>1999833255</v>
      </c>
      <c r="J39" s="4">
        <v>948213920</v>
      </c>
      <c r="K39" s="4">
        <v>2948047175</v>
      </c>
      <c r="L39" s="17">
        <v>44078</v>
      </c>
      <c r="M39" s="17"/>
      <c r="N39" s="17">
        <v>44113</v>
      </c>
      <c r="O39" s="17">
        <v>44408</v>
      </c>
      <c r="P39" s="4">
        <v>99.95</v>
      </c>
      <c r="Q39" s="4">
        <v>99.96</v>
      </c>
      <c r="R39" s="3"/>
    </row>
    <row r="40" spans="1:18" ht="69.95" customHeight="1" x14ac:dyDescent="0.25">
      <c r="A40" s="3" t="s">
        <v>651</v>
      </c>
      <c r="B40" s="3" t="s">
        <v>652</v>
      </c>
      <c r="C40" s="3" t="s">
        <v>653</v>
      </c>
      <c r="D40" s="3" t="s">
        <v>654</v>
      </c>
      <c r="E40" s="3" t="s">
        <v>66</v>
      </c>
      <c r="F40" s="3" t="s">
        <v>104</v>
      </c>
      <c r="G40" s="3" t="s">
        <v>57</v>
      </c>
      <c r="H40" s="3" t="s">
        <v>503</v>
      </c>
      <c r="I40" s="4">
        <v>6559568533</v>
      </c>
      <c r="J40" s="4">
        <v>288576987</v>
      </c>
      <c r="K40" s="4">
        <v>6848145520</v>
      </c>
      <c r="L40" s="17">
        <v>44159</v>
      </c>
      <c r="M40" s="17"/>
      <c r="N40" s="17">
        <v>44337</v>
      </c>
      <c r="O40" s="17">
        <v>44410</v>
      </c>
      <c r="P40" s="4">
        <v>100</v>
      </c>
      <c r="Q40" s="4">
        <v>98.42</v>
      </c>
      <c r="R40" s="3"/>
    </row>
    <row r="41" spans="1:18" ht="69.95" customHeight="1" x14ac:dyDescent="0.25">
      <c r="A41" s="3" t="s">
        <v>655</v>
      </c>
      <c r="B41" s="3" t="s">
        <v>632</v>
      </c>
      <c r="C41" s="3" t="s">
        <v>656</v>
      </c>
      <c r="D41" s="3" t="s">
        <v>657</v>
      </c>
      <c r="E41" s="3" t="s">
        <v>66</v>
      </c>
      <c r="F41" s="3" t="s">
        <v>104</v>
      </c>
      <c r="G41" s="3" t="s">
        <v>68</v>
      </c>
      <c r="H41" s="3" t="s">
        <v>490</v>
      </c>
      <c r="I41" s="4">
        <v>1998890586.73</v>
      </c>
      <c r="J41" s="4">
        <v>899995425.88000011</v>
      </c>
      <c r="K41" s="4">
        <v>2898886012.6100001</v>
      </c>
      <c r="L41" s="17">
        <v>44078</v>
      </c>
      <c r="M41" s="17"/>
      <c r="N41" s="17">
        <v>44386</v>
      </c>
      <c r="O41" s="17">
        <v>44335</v>
      </c>
      <c r="P41" s="4">
        <v>98.23</v>
      </c>
      <c r="Q41" s="4">
        <v>98.28</v>
      </c>
      <c r="R41" s="3"/>
    </row>
    <row r="42" spans="1:18" ht="69.95" customHeight="1" x14ac:dyDescent="0.25">
      <c r="A42" s="3" t="s">
        <v>658</v>
      </c>
      <c r="B42" s="3" t="s">
        <v>640</v>
      </c>
      <c r="C42" s="3" t="s">
        <v>659</v>
      </c>
      <c r="D42" s="3" t="s">
        <v>660</v>
      </c>
      <c r="E42" s="3" t="s">
        <v>66</v>
      </c>
      <c r="F42" s="3" t="s">
        <v>104</v>
      </c>
      <c r="G42" s="3" t="s">
        <v>207</v>
      </c>
      <c r="H42" s="3" t="s">
        <v>503</v>
      </c>
      <c r="I42" s="4">
        <v>5347795060</v>
      </c>
      <c r="J42" s="4">
        <v>1233838703</v>
      </c>
      <c r="K42" s="4">
        <v>6581633763</v>
      </c>
      <c r="L42" s="17">
        <v>43966</v>
      </c>
      <c r="M42" s="17"/>
      <c r="N42" s="17">
        <v>43978</v>
      </c>
      <c r="O42" s="17">
        <v>44097</v>
      </c>
      <c r="P42" s="4">
        <v>99.17</v>
      </c>
      <c r="Q42" s="4">
        <v>99.17</v>
      </c>
      <c r="R42" s="3"/>
    </row>
    <row r="43" spans="1:18" ht="69.95" customHeight="1" x14ac:dyDescent="0.25">
      <c r="A43" s="18" t="s">
        <v>661</v>
      </c>
      <c r="B43" s="3" t="s">
        <v>602</v>
      </c>
      <c r="C43" s="3" t="s">
        <v>662</v>
      </c>
      <c r="D43" s="3" t="s">
        <v>663</v>
      </c>
      <c r="E43" s="3" t="s">
        <v>66</v>
      </c>
      <c r="F43" s="3" t="s">
        <v>104</v>
      </c>
      <c r="G43" s="3" t="s">
        <v>68</v>
      </c>
      <c r="H43" s="3" t="s">
        <v>503</v>
      </c>
      <c r="I43" s="4">
        <v>1965295196.9400001</v>
      </c>
      <c r="J43" s="4">
        <v>2166508826.73</v>
      </c>
      <c r="K43" s="4">
        <v>4131804023.6700001</v>
      </c>
      <c r="L43" s="17">
        <v>44078</v>
      </c>
      <c r="M43" s="17"/>
      <c r="N43" s="17"/>
      <c r="O43" s="17">
        <v>44421</v>
      </c>
      <c r="P43" s="4">
        <v>96.47</v>
      </c>
      <c r="Q43" s="4">
        <v>102.12</v>
      </c>
      <c r="R43" s="3"/>
    </row>
    <row r="44" spans="1:18" ht="69.95" customHeight="1" x14ac:dyDescent="0.25">
      <c r="A44" s="3" t="s">
        <v>664</v>
      </c>
      <c r="B44" s="3" t="s">
        <v>640</v>
      </c>
      <c r="C44" s="3" t="s">
        <v>665</v>
      </c>
      <c r="D44" s="3" t="s">
        <v>666</v>
      </c>
      <c r="E44" s="3" t="s">
        <v>66</v>
      </c>
      <c r="F44" s="3" t="s">
        <v>104</v>
      </c>
      <c r="G44" s="3" t="s">
        <v>68</v>
      </c>
      <c r="H44" s="3" t="s">
        <v>453</v>
      </c>
      <c r="I44" s="4">
        <v>8764697664</v>
      </c>
      <c r="J44" s="4">
        <v>1543666900</v>
      </c>
      <c r="K44" s="4">
        <v>10308364564</v>
      </c>
      <c r="L44" s="17">
        <v>44432</v>
      </c>
      <c r="M44" s="17"/>
      <c r="N44" s="17">
        <v>44480</v>
      </c>
      <c r="O44" s="17">
        <v>44502</v>
      </c>
      <c r="P44" s="4">
        <v>89.91</v>
      </c>
      <c r="Q44" s="4">
        <v>90.22</v>
      </c>
      <c r="R44" s="3"/>
    </row>
    <row r="45" spans="1:18" ht="69.95" customHeight="1" x14ac:dyDescent="0.25">
      <c r="A45" s="3" t="s">
        <v>667</v>
      </c>
      <c r="B45" s="3" t="s">
        <v>668</v>
      </c>
      <c r="C45" s="3" t="s">
        <v>669</v>
      </c>
      <c r="D45" s="3" t="s">
        <v>670</v>
      </c>
      <c r="E45" s="3" t="s">
        <v>66</v>
      </c>
      <c r="F45" s="3" t="s">
        <v>104</v>
      </c>
      <c r="G45" s="3" t="s">
        <v>57</v>
      </c>
      <c r="H45" s="3" t="s">
        <v>503</v>
      </c>
      <c r="I45" s="4">
        <v>1349000868</v>
      </c>
      <c r="J45" s="4">
        <v>60240000</v>
      </c>
      <c r="K45" s="4">
        <v>1409240868</v>
      </c>
      <c r="L45" s="17">
        <v>44111</v>
      </c>
      <c r="M45" s="17"/>
      <c r="N45" s="17">
        <v>44568</v>
      </c>
      <c r="O45" s="17">
        <v>44594</v>
      </c>
      <c r="P45" s="4">
        <v>100</v>
      </c>
      <c r="Q45" s="4">
        <v>90.65</v>
      </c>
      <c r="R45" s="3"/>
    </row>
    <row r="46" spans="1:18" ht="69.95" customHeight="1" x14ac:dyDescent="0.25">
      <c r="A46" s="3" t="s">
        <v>671</v>
      </c>
      <c r="B46" s="3" t="s">
        <v>672</v>
      </c>
      <c r="C46" s="3" t="s">
        <v>673</v>
      </c>
      <c r="D46" s="3" t="s">
        <v>674</v>
      </c>
      <c r="E46" s="3" t="s">
        <v>66</v>
      </c>
      <c r="F46" s="3" t="s">
        <v>104</v>
      </c>
      <c r="G46" s="3" t="s">
        <v>57</v>
      </c>
      <c r="H46" s="3" t="s">
        <v>503</v>
      </c>
      <c r="I46" s="4">
        <v>3106000000</v>
      </c>
      <c r="J46" s="4">
        <v>50000000</v>
      </c>
      <c r="K46" s="4">
        <v>3156000000</v>
      </c>
      <c r="L46" s="17">
        <v>44159</v>
      </c>
      <c r="M46" s="17"/>
      <c r="N46" s="17">
        <v>44235</v>
      </c>
      <c r="O46" s="17">
        <v>44327</v>
      </c>
      <c r="P46" s="4">
        <v>100</v>
      </c>
      <c r="Q46" s="4">
        <v>93.32</v>
      </c>
      <c r="R46" s="3"/>
    </row>
    <row r="47" spans="1:18" ht="69.95" customHeight="1" x14ac:dyDescent="0.25">
      <c r="A47" s="3" t="s">
        <v>675</v>
      </c>
      <c r="B47" s="3" t="s">
        <v>586</v>
      </c>
      <c r="C47" s="3" t="s">
        <v>676</v>
      </c>
      <c r="D47" s="3" t="s">
        <v>677</v>
      </c>
      <c r="E47" s="3" t="s">
        <v>66</v>
      </c>
      <c r="F47" s="3" t="s">
        <v>104</v>
      </c>
      <c r="G47" s="3" t="s">
        <v>57</v>
      </c>
      <c r="H47" s="3" t="s">
        <v>490</v>
      </c>
      <c r="I47" s="4">
        <v>8995267958.5699997</v>
      </c>
      <c r="J47" s="4">
        <v>182146495.4899998</v>
      </c>
      <c r="K47" s="4">
        <v>9177414454.0599995</v>
      </c>
      <c r="L47" s="17">
        <v>44159</v>
      </c>
      <c r="M47" s="17"/>
      <c r="N47" s="17">
        <v>44263</v>
      </c>
      <c r="O47" s="17">
        <v>44365</v>
      </c>
      <c r="P47" s="4">
        <v>100</v>
      </c>
      <c r="Q47" s="4">
        <v>100</v>
      </c>
      <c r="R47" s="3"/>
    </row>
    <row r="48" spans="1:18" ht="69.95" customHeight="1" x14ac:dyDescent="0.25">
      <c r="A48" s="3" t="s">
        <v>678</v>
      </c>
      <c r="B48" s="3" t="s">
        <v>679</v>
      </c>
      <c r="C48" s="3" t="s">
        <v>680</v>
      </c>
      <c r="D48" s="3" t="s">
        <v>681</v>
      </c>
      <c r="E48" s="3" t="s">
        <v>66</v>
      </c>
      <c r="F48" s="3" t="s">
        <v>104</v>
      </c>
      <c r="G48" s="3" t="s">
        <v>68</v>
      </c>
      <c r="H48" s="3" t="s">
        <v>453</v>
      </c>
      <c r="I48" s="4">
        <v>6750000000</v>
      </c>
      <c r="J48" s="4">
        <v>170233499</v>
      </c>
      <c r="K48" s="4">
        <v>6920233499</v>
      </c>
      <c r="L48" s="17">
        <v>44330</v>
      </c>
      <c r="M48" s="17"/>
      <c r="N48" s="17">
        <v>44362</v>
      </c>
      <c r="O48" s="17">
        <v>44404</v>
      </c>
      <c r="P48" s="4">
        <v>83</v>
      </c>
      <c r="Q48" s="4">
        <v>86.25</v>
      </c>
      <c r="R48" s="3"/>
    </row>
    <row r="49" spans="1:18" ht="69.95" customHeight="1" x14ac:dyDescent="0.25">
      <c r="A49" s="3" t="s">
        <v>682</v>
      </c>
      <c r="B49" s="3" t="s">
        <v>648</v>
      </c>
      <c r="C49" s="3" t="s">
        <v>683</v>
      </c>
      <c r="D49" s="3" t="s">
        <v>684</v>
      </c>
      <c r="E49" s="3" t="s">
        <v>66</v>
      </c>
      <c r="F49" s="3" t="s">
        <v>104</v>
      </c>
      <c r="G49" s="3" t="s">
        <v>68</v>
      </c>
      <c r="H49" s="3" t="s">
        <v>503</v>
      </c>
      <c r="I49" s="4">
        <v>1998157618.8800001</v>
      </c>
      <c r="J49" s="4">
        <v>469735103.82999992</v>
      </c>
      <c r="K49" s="4">
        <v>2467892722.71</v>
      </c>
      <c r="L49" s="17">
        <v>44159</v>
      </c>
      <c r="M49" s="17"/>
      <c r="N49" s="17">
        <v>44259</v>
      </c>
      <c r="O49" s="17">
        <v>44567</v>
      </c>
      <c r="P49" s="4">
        <v>98.06</v>
      </c>
      <c r="Q49" s="4">
        <v>98.13</v>
      </c>
      <c r="R49" s="3"/>
    </row>
    <row r="50" spans="1:18" ht="69.95" customHeight="1" x14ac:dyDescent="0.25">
      <c r="A50" s="3" t="s">
        <v>685</v>
      </c>
      <c r="B50" s="3" t="s">
        <v>570</v>
      </c>
      <c r="C50" s="3" t="s">
        <v>686</v>
      </c>
      <c r="D50" s="3" t="s">
        <v>687</v>
      </c>
      <c r="E50" s="3" t="s">
        <v>66</v>
      </c>
      <c r="F50" s="3" t="s">
        <v>104</v>
      </c>
      <c r="G50" s="3" t="s">
        <v>68</v>
      </c>
      <c r="H50" s="3" t="s">
        <v>453</v>
      </c>
      <c r="I50" s="4">
        <v>2000000000</v>
      </c>
      <c r="J50" s="4">
        <v>474185221</v>
      </c>
      <c r="K50" s="4">
        <v>2474185221</v>
      </c>
      <c r="L50" s="17">
        <v>44159</v>
      </c>
      <c r="M50" s="17"/>
      <c r="N50" s="17">
        <v>44246</v>
      </c>
      <c r="O50" s="17">
        <v>44337</v>
      </c>
      <c r="P50" s="4">
        <v>100.2</v>
      </c>
      <c r="Q50" s="4">
        <v>100</v>
      </c>
      <c r="R50" s="3"/>
    </row>
    <row r="51" spans="1:18" ht="69.95" customHeight="1" x14ac:dyDescent="0.25">
      <c r="A51" s="3" t="s">
        <v>688</v>
      </c>
      <c r="B51" s="3" t="s">
        <v>689</v>
      </c>
      <c r="C51" s="3" t="s">
        <v>690</v>
      </c>
      <c r="D51" s="3" t="s">
        <v>691</v>
      </c>
      <c r="E51" s="3" t="s">
        <v>66</v>
      </c>
      <c r="F51" s="3" t="s">
        <v>104</v>
      </c>
      <c r="G51" s="3" t="s">
        <v>68</v>
      </c>
      <c r="H51" s="3" t="s">
        <v>453</v>
      </c>
      <c r="I51" s="4">
        <v>5335769261</v>
      </c>
      <c r="J51" s="4">
        <v>577300853</v>
      </c>
      <c r="K51" s="4">
        <v>5913070114</v>
      </c>
      <c r="L51" s="17">
        <v>44348</v>
      </c>
      <c r="M51" s="17"/>
      <c r="N51" s="29"/>
      <c r="O51" s="17">
        <v>44427</v>
      </c>
      <c r="P51" s="4">
        <v>65.84</v>
      </c>
      <c r="Q51" s="4">
        <v>65.83</v>
      </c>
      <c r="R51" s="3"/>
    </row>
    <row r="52" spans="1:18" ht="69.95" customHeight="1" x14ac:dyDescent="0.25">
      <c r="A52" s="3" t="s">
        <v>692</v>
      </c>
      <c r="B52" s="3" t="s">
        <v>648</v>
      </c>
      <c r="C52" s="3" t="s">
        <v>693</v>
      </c>
      <c r="D52" s="3" t="s">
        <v>694</v>
      </c>
      <c r="E52" s="3" t="s">
        <v>66</v>
      </c>
      <c r="F52" s="3" t="s">
        <v>104</v>
      </c>
      <c r="G52" s="3" t="s">
        <v>68</v>
      </c>
      <c r="H52" s="3" t="s">
        <v>503</v>
      </c>
      <c r="I52" s="4">
        <v>4940449374</v>
      </c>
      <c r="J52" s="4">
        <v>263481086</v>
      </c>
      <c r="K52" s="4">
        <v>5203930460</v>
      </c>
      <c r="L52" s="17">
        <v>44432</v>
      </c>
      <c r="M52" s="17"/>
      <c r="N52" s="17">
        <v>44480</v>
      </c>
      <c r="O52" s="17">
        <v>44517</v>
      </c>
      <c r="P52" s="4">
        <v>99.7</v>
      </c>
      <c r="Q52" s="4">
        <v>99.91</v>
      </c>
      <c r="R52" s="3"/>
    </row>
    <row r="53" spans="1:18" ht="69.95" customHeight="1" x14ac:dyDescent="0.25">
      <c r="A53" s="3" t="s">
        <v>695</v>
      </c>
      <c r="B53" s="3" t="s">
        <v>570</v>
      </c>
      <c r="C53" s="3" t="s">
        <v>696</v>
      </c>
      <c r="D53" s="3" t="s">
        <v>697</v>
      </c>
      <c r="E53" s="3" t="s">
        <v>66</v>
      </c>
      <c r="F53" s="3" t="s">
        <v>104</v>
      </c>
      <c r="G53" s="3" t="s">
        <v>57</v>
      </c>
      <c r="H53" s="3" t="s">
        <v>490</v>
      </c>
      <c r="I53" s="4">
        <v>1999924866</v>
      </c>
      <c r="J53" s="4">
        <v>1559283349</v>
      </c>
      <c r="K53" s="4">
        <v>3559208215</v>
      </c>
      <c r="L53" s="17">
        <v>44159</v>
      </c>
      <c r="M53" s="17"/>
      <c r="N53" s="17">
        <v>44246</v>
      </c>
      <c r="O53" s="17">
        <v>44341</v>
      </c>
      <c r="P53" s="4">
        <v>100.03</v>
      </c>
      <c r="Q53" s="4">
        <v>87.3</v>
      </c>
      <c r="R53" s="3"/>
    </row>
    <row r="54" spans="1:18" ht="69.95" customHeight="1" x14ac:dyDescent="0.25">
      <c r="A54" s="3" t="s">
        <v>698</v>
      </c>
      <c r="B54" s="3" t="s">
        <v>570</v>
      </c>
      <c r="C54" s="3" t="s">
        <v>699</v>
      </c>
      <c r="D54" s="3" t="s">
        <v>700</v>
      </c>
      <c r="E54" s="3" t="s">
        <v>66</v>
      </c>
      <c r="F54" s="3" t="s">
        <v>104</v>
      </c>
      <c r="G54" s="3" t="s">
        <v>68</v>
      </c>
      <c r="H54" s="3" t="s">
        <v>453</v>
      </c>
      <c r="I54" s="4">
        <v>3591118773</v>
      </c>
      <c r="J54" s="4">
        <v>177500000</v>
      </c>
      <c r="K54" s="4">
        <v>3768618773</v>
      </c>
      <c r="L54" s="17">
        <v>44330</v>
      </c>
      <c r="M54" s="17"/>
      <c r="N54" s="17">
        <v>44393</v>
      </c>
      <c r="O54" s="17">
        <v>44418</v>
      </c>
      <c r="P54" s="4">
        <v>95.18</v>
      </c>
      <c r="Q54" s="4">
        <v>84.17</v>
      </c>
      <c r="R54" s="3"/>
    </row>
    <row r="55" spans="1:18" ht="69.95" customHeight="1" x14ac:dyDescent="0.25">
      <c r="A55" s="3" t="s">
        <v>701</v>
      </c>
      <c r="B55" s="3" t="s">
        <v>570</v>
      </c>
      <c r="C55" s="3" t="s">
        <v>702</v>
      </c>
      <c r="D55" s="3" t="s">
        <v>703</v>
      </c>
      <c r="E55" s="3" t="s">
        <v>66</v>
      </c>
      <c r="F55" s="3" t="s">
        <v>104</v>
      </c>
      <c r="G55" s="3" t="s">
        <v>57</v>
      </c>
      <c r="H55" s="3" t="s">
        <v>453</v>
      </c>
      <c r="I55" s="4">
        <v>2000000000</v>
      </c>
      <c r="J55" s="4">
        <v>1560969376</v>
      </c>
      <c r="K55" s="4">
        <v>3560969376</v>
      </c>
      <c r="L55" s="17">
        <v>44159</v>
      </c>
      <c r="M55" s="17"/>
      <c r="N55" s="17">
        <v>44246</v>
      </c>
      <c r="O55" s="17">
        <v>44337</v>
      </c>
      <c r="P55" s="4">
        <v>100.04</v>
      </c>
      <c r="Q55" s="4">
        <v>100</v>
      </c>
      <c r="R55" s="3"/>
    </row>
    <row r="56" spans="1:18" ht="69.95" customHeight="1" x14ac:dyDescent="0.25">
      <c r="A56" s="3" t="s">
        <v>704</v>
      </c>
      <c r="B56" s="3" t="s">
        <v>648</v>
      </c>
      <c r="C56" s="3" t="s">
        <v>705</v>
      </c>
      <c r="D56" s="3" t="s">
        <v>706</v>
      </c>
      <c r="E56" s="3" t="s">
        <v>66</v>
      </c>
      <c r="F56" s="3" t="s">
        <v>104</v>
      </c>
      <c r="G56" s="3" t="s">
        <v>68</v>
      </c>
      <c r="H56" s="3" t="s">
        <v>453</v>
      </c>
      <c r="I56" s="4">
        <v>1999112638.9200001</v>
      </c>
      <c r="J56" s="4">
        <v>857237428</v>
      </c>
      <c r="K56" s="4">
        <v>2856350066.9200001</v>
      </c>
      <c r="L56" s="17">
        <v>44159</v>
      </c>
      <c r="M56" s="17"/>
      <c r="N56" s="17">
        <v>44259</v>
      </c>
      <c r="O56" s="17">
        <v>44474</v>
      </c>
      <c r="P56" s="4">
        <v>99.08</v>
      </c>
      <c r="Q56" s="4">
        <v>99.46</v>
      </c>
      <c r="R56" s="3"/>
    </row>
    <row r="57" spans="1:18" ht="69.95" customHeight="1" x14ac:dyDescent="0.25">
      <c r="A57" s="3" t="s">
        <v>707</v>
      </c>
      <c r="B57" s="3" t="s">
        <v>708</v>
      </c>
      <c r="C57" s="3" t="s">
        <v>709</v>
      </c>
      <c r="D57" s="3" t="s">
        <v>710</v>
      </c>
      <c r="E57" s="3" t="s">
        <v>66</v>
      </c>
      <c r="F57" s="3" t="s">
        <v>104</v>
      </c>
      <c r="G57" s="3" t="s">
        <v>68</v>
      </c>
      <c r="H57" s="3" t="s">
        <v>453</v>
      </c>
      <c r="I57" s="4">
        <v>7500000000</v>
      </c>
      <c r="J57" s="4">
        <v>0</v>
      </c>
      <c r="K57" s="4">
        <v>7500000000</v>
      </c>
      <c r="L57" s="17">
        <v>44348</v>
      </c>
      <c r="M57" s="17"/>
      <c r="N57" s="17">
        <v>44379</v>
      </c>
      <c r="O57" s="17">
        <v>44407</v>
      </c>
      <c r="P57" s="4">
        <v>58.72</v>
      </c>
      <c r="Q57" s="4">
        <v>58.7</v>
      </c>
      <c r="R57" s="3"/>
    </row>
    <row r="58" spans="1:18" ht="69.95" customHeight="1" x14ac:dyDescent="0.25">
      <c r="A58" s="3" t="s">
        <v>711</v>
      </c>
      <c r="B58" s="3" t="s">
        <v>602</v>
      </c>
      <c r="C58" s="3" t="s">
        <v>712</v>
      </c>
      <c r="D58" s="3" t="s">
        <v>713</v>
      </c>
      <c r="E58" s="3" t="s">
        <v>66</v>
      </c>
      <c r="F58" s="3" t="s">
        <v>104</v>
      </c>
      <c r="G58" s="3" t="s">
        <v>57</v>
      </c>
      <c r="H58" s="3" t="s">
        <v>503</v>
      </c>
      <c r="I58" s="4">
        <v>1999803848</v>
      </c>
      <c r="J58" s="4">
        <v>1394426448</v>
      </c>
      <c r="K58" s="4">
        <v>3394230296</v>
      </c>
      <c r="L58" s="17">
        <v>44159</v>
      </c>
      <c r="M58" s="17"/>
      <c r="N58" s="17">
        <v>44320</v>
      </c>
      <c r="O58" s="17">
        <v>44467</v>
      </c>
      <c r="P58" s="4">
        <v>99.71</v>
      </c>
      <c r="Q58" s="4">
        <v>100.53</v>
      </c>
      <c r="R58" s="3"/>
    </row>
    <row r="59" spans="1:18" ht="69.95" customHeight="1" x14ac:dyDescent="0.25">
      <c r="A59" s="3" t="s">
        <v>714</v>
      </c>
      <c r="B59" s="3" t="s">
        <v>632</v>
      </c>
      <c r="C59" s="3" t="s">
        <v>715</v>
      </c>
      <c r="D59" s="3" t="s">
        <v>716</v>
      </c>
      <c r="E59" s="3" t="s">
        <v>66</v>
      </c>
      <c r="F59" s="3" t="s">
        <v>104</v>
      </c>
      <c r="G59" s="3" t="s">
        <v>68</v>
      </c>
      <c r="H59" s="3" t="s">
        <v>490</v>
      </c>
      <c r="I59" s="4">
        <v>1738785560</v>
      </c>
      <c r="J59" s="4">
        <v>607572471</v>
      </c>
      <c r="K59" s="4">
        <v>2346358031</v>
      </c>
      <c r="L59" s="17">
        <v>44159</v>
      </c>
      <c r="M59" s="17"/>
      <c r="N59" s="17">
        <v>44309</v>
      </c>
      <c r="O59" s="17">
        <v>44337</v>
      </c>
      <c r="P59" s="4">
        <v>61.77</v>
      </c>
      <c r="Q59" s="4">
        <v>61.03</v>
      </c>
      <c r="R59" s="3"/>
    </row>
    <row r="60" spans="1:18" ht="69.95" customHeight="1" x14ac:dyDescent="0.25">
      <c r="A60" s="3" t="s">
        <v>717</v>
      </c>
      <c r="B60" s="3" t="s">
        <v>570</v>
      </c>
      <c r="C60" s="3" t="s">
        <v>718</v>
      </c>
      <c r="D60" s="3" t="s">
        <v>719</v>
      </c>
      <c r="E60" s="3" t="s">
        <v>66</v>
      </c>
      <c r="F60" s="3" t="s">
        <v>104</v>
      </c>
      <c r="G60" s="3" t="s">
        <v>57</v>
      </c>
      <c r="H60" s="3" t="s">
        <v>453</v>
      </c>
      <c r="I60" s="4">
        <v>1999000000</v>
      </c>
      <c r="J60" s="4">
        <v>512000000</v>
      </c>
      <c r="K60" s="4">
        <v>2511000000</v>
      </c>
      <c r="L60" s="17">
        <v>44159</v>
      </c>
      <c r="M60" s="17"/>
      <c r="N60" s="17">
        <v>44246</v>
      </c>
      <c r="O60" s="17">
        <v>44340</v>
      </c>
      <c r="P60" s="4">
        <v>99.99</v>
      </c>
      <c r="Q60" s="4">
        <v>100</v>
      </c>
      <c r="R60" s="3"/>
    </row>
    <row r="61" spans="1:18" ht="69.95" customHeight="1" x14ac:dyDescent="0.25">
      <c r="A61" s="3" t="s">
        <v>720</v>
      </c>
      <c r="B61" s="3" t="s">
        <v>721</v>
      </c>
      <c r="C61" s="3" t="s">
        <v>722</v>
      </c>
      <c r="D61" s="3" t="s">
        <v>723</v>
      </c>
      <c r="E61" s="3" t="s">
        <v>66</v>
      </c>
      <c r="F61" s="3" t="s">
        <v>104</v>
      </c>
      <c r="G61" s="3" t="s">
        <v>68</v>
      </c>
      <c r="H61" s="3" t="s">
        <v>453</v>
      </c>
      <c r="I61" s="4">
        <v>1775630700</v>
      </c>
      <c r="J61" s="4">
        <v>118901400</v>
      </c>
      <c r="K61" s="4">
        <v>1894532100</v>
      </c>
      <c r="L61" s="17">
        <v>44368</v>
      </c>
      <c r="M61" s="17"/>
      <c r="N61" s="17">
        <v>44924</v>
      </c>
      <c r="O61" s="17">
        <v>44456</v>
      </c>
      <c r="P61" s="4">
        <v>94.11</v>
      </c>
      <c r="Q61" s="4">
        <v>94.38</v>
      </c>
      <c r="R61" s="3"/>
    </row>
    <row r="62" spans="1:18" ht="69.95" customHeight="1" x14ac:dyDescent="0.25">
      <c r="A62" s="3" t="s">
        <v>724</v>
      </c>
      <c r="B62" s="3" t="s">
        <v>640</v>
      </c>
      <c r="C62" s="3" t="s">
        <v>725</v>
      </c>
      <c r="D62" s="3" t="s">
        <v>726</v>
      </c>
      <c r="E62" s="3" t="s">
        <v>66</v>
      </c>
      <c r="F62" s="3" t="s">
        <v>104</v>
      </c>
      <c r="G62" s="3" t="s">
        <v>68</v>
      </c>
      <c r="H62" s="3" t="s">
        <v>453</v>
      </c>
      <c r="I62" s="4">
        <v>750000000</v>
      </c>
      <c r="J62" s="4">
        <v>168904760</v>
      </c>
      <c r="K62" s="4">
        <v>918904760</v>
      </c>
      <c r="L62" s="17">
        <v>44377</v>
      </c>
      <c r="M62" s="17"/>
      <c r="N62" s="17">
        <v>44440</v>
      </c>
      <c r="O62" s="17">
        <v>44589</v>
      </c>
      <c r="P62" s="4">
        <v>55.76</v>
      </c>
      <c r="Q62" s="4">
        <v>60.48</v>
      </c>
      <c r="R62" s="3"/>
    </row>
    <row r="63" spans="1:18" ht="69.95" customHeight="1" x14ac:dyDescent="0.25">
      <c r="A63" s="3" t="s">
        <v>727</v>
      </c>
      <c r="B63" s="3" t="s">
        <v>728</v>
      </c>
      <c r="C63" s="3" t="s">
        <v>729</v>
      </c>
      <c r="D63" s="3" t="s">
        <v>730</v>
      </c>
      <c r="E63" s="3" t="s">
        <v>66</v>
      </c>
      <c r="F63" s="3" t="s">
        <v>104</v>
      </c>
      <c r="G63" s="3" t="s">
        <v>68</v>
      </c>
      <c r="H63" s="3" t="s">
        <v>453</v>
      </c>
      <c r="I63" s="4">
        <v>2828005287</v>
      </c>
      <c r="J63" s="4">
        <v>241611863</v>
      </c>
      <c r="K63" s="4">
        <v>3069617150</v>
      </c>
      <c r="L63" s="17">
        <v>44348</v>
      </c>
      <c r="M63" s="17"/>
      <c r="N63" s="17">
        <v>44924</v>
      </c>
      <c r="O63" s="17">
        <v>44410</v>
      </c>
      <c r="P63" s="4">
        <v>94.61</v>
      </c>
      <c r="Q63" s="4">
        <v>83.98</v>
      </c>
      <c r="R63" s="3"/>
    </row>
    <row r="64" spans="1:18" ht="69.95" customHeight="1" x14ac:dyDescent="0.25">
      <c r="A64" s="3" t="s">
        <v>731</v>
      </c>
      <c r="B64" s="3" t="s">
        <v>504</v>
      </c>
      <c r="C64" s="3" t="s">
        <v>732</v>
      </c>
      <c r="D64" s="3" t="s">
        <v>733</v>
      </c>
      <c r="E64" s="3" t="s">
        <v>92</v>
      </c>
      <c r="F64" s="3" t="s">
        <v>734</v>
      </c>
      <c r="G64" s="3" t="s">
        <v>68</v>
      </c>
      <c r="H64" s="19" t="s">
        <v>458</v>
      </c>
      <c r="I64" s="4">
        <v>69047758069</v>
      </c>
      <c r="J64" s="4">
        <v>0</v>
      </c>
      <c r="K64" s="4">
        <v>69047758069</v>
      </c>
      <c r="L64" s="17">
        <v>44551</v>
      </c>
      <c r="M64" s="17"/>
      <c r="N64" s="17">
        <v>44652</v>
      </c>
      <c r="O64" s="17">
        <v>44810</v>
      </c>
      <c r="P64" s="4">
        <v>93.54</v>
      </c>
      <c r="Q64" s="4">
        <v>94.51</v>
      </c>
      <c r="R64" s="3"/>
    </row>
    <row r="65" spans="1:18" ht="69.95" customHeight="1" x14ac:dyDescent="0.25">
      <c r="A65" s="3" t="s">
        <v>735</v>
      </c>
      <c r="B65" s="3" t="s">
        <v>574</v>
      </c>
      <c r="C65" s="3" t="s">
        <v>736</v>
      </c>
      <c r="D65" s="3" t="s">
        <v>737</v>
      </c>
      <c r="E65" s="3" t="s">
        <v>66</v>
      </c>
      <c r="F65" s="3" t="s">
        <v>104</v>
      </c>
      <c r="G65" s="3" t="s">
        <v>68</v>
      </c>
      <c r="H65" s="3" t="s">
        <v>453</v>
      </c>
      <c r="I65" s="4">
        <v>17635937500</v>
      </c>
      <c r="J65" s="4">
        <v>782206000</v>
      </c>
      <c r="K65" s="4">
        <v>18418143500</v>
      </c>
      <c r="L65" s="17">
        <v>44330</v>
      </c>
      <c r="M65" s="17"/>
      <c r="N65" s="17">
        <v>44365</v>
      </c>
      <c r="O65" s="17">
        <v>44438</v>
      </c>
      <c r="P65" s="4">
        <v>81.39</v>
      </c>
      <c r="Q65" s="4">
        <v>81.650000000000006</v>
      </c>
      <c r="R65" s="3"/>
    </row>
    <row r="66" spans="1:18" ht="69.95" customHeight="1" x14ac:dyDescent="0.25">
      <c r="A66" s="3" t="s">
        <v>738</v>
      </c>
      <c r="B66" s="3" t="s">
        <v>562</v>
      </c>
      <c r="C66" s="3" t="s">
        <v>739</v>
      </c>
      <c r="D66" s="3" t="s">
        <v>740</v>
      </c>
      <c r="E66" s="3" t="s">
        <v>66</v>
      </c>
      <c r="F66" s="3" t="s">
        <v>104</v>
      </c>
      <c r="G66" s="3" t="s">
        <v>68</v>
      </c>
      <c r="H66" s="3" t="s">
        <v>453</v>
      </c>
      <c r="I66" s="4">
        <v>1309600000</v>
      </c>
      <c r="J66" s="4">
        <v>210350000</v>
      </c>
      <c r="K66" s="4">
        <v>1519950000</v>
      </c>
      <c r="L66" s="17">
        <v>44348</v>
      </c>
      <c r="M66" s="17"/>
      <c r="N66" s="17">
        <v>44924</v>
      </c>
      <c r="O66" s="17">
        <v>44466</v>
      </c>
      <c r="P66" s="4">
        <v>93.84</v>
      </c>
      <c r="Q66" s="4">
        <v>95.06</v>
      </c>
      <c r="R66" s="3"/>
    </row>
    <row r="67" spans="1:18" ht="69.95" customHeight="1" x14ac:dyDescent="0.25">
      <c r="A67" s="3" t="s">
        <v>741</v>
      </c>
      <c r="B67" s="3" t="s">
        <v>648</v>
      </c>
      <c r="C67" s="3" t="s">
        <v>742</v>
      </c>
      <c r="D67" s="3" t="s">
        <v>743</v>
      </c>
      <c r="E67" s="3" t="s">
        <v>66</v>
      </c>
      <c r="F67" s="3" t="s">
        <v>104</v>
      </c>
      <c r="G67" s="3" t="s">
        <v>68</v>
      </c>
      <c r="H67" s="3" t="s">
        <v>453</v>
      </c>
      <c r="I67" s="4">
        <v>2750000000</v>
      </c>
      <c r="J67" s="4">
        <v>25000000</v>
      </c>
      <c r="K67" s="4">
        <v>2775000000</v>
      </c>
      <c r="L67" s="17">
        <v>44384</v>
      </c>
      <c r="M67" s="17"/>
      <c r="N67" s="17">
        <v>44429</v>
      </c>
      <c r="O67" s="17">
        <v>44530</v>
      </c>
      <c r="P67" s="4">
        <v>89.45</v>
      </c>
      <c r="Q67" s="4">
        <v>96.7</v>
      </c>
      <c r="R67" s="3"/>
    </row>
    <row r="68" spans="1:18" ht="69.95" customHeight="1" x14ac:dyDescent="0.25">
      <c r="A68" s="3" t="s">
        <v>744</v>
      </c>
      <c r="B68" s="3" t="s">
        <v>586</v>
      </c>
      <c r="C68" s="3" t="s">
        <v>745</v>
      </c>
      <c r="D68" s="3" t="s">
        <v>746</v>
      </c>
      <c r="E68" s="3" t="s">
        <v>66</v>
      </c>
      <c r="F68" s="3" t="s">
        <v>104</v>
      </c>
      <c r="G68" s="3" t="s">
        <v>68</v>
      </c>
      <c r="H68" s="3" t="s">
        <v>453</v>
      </c>
      <c r="I68" s="4">
        <v>1500000000</v>
      </c>
      <c r="J68" s="4">
        <v>353734000</v>
      </c>
      <c r="K68" s="4">
        <v>1853734000</v>
      </c>
      <c r="L68" s="17">
        <v>44368</v>
      </c>
      <c r="M68" s="17"/>
      <c r="N68" s="17">
        <v>44368</v>
      </c>
      <c r="O68" s="17">
        <v>44433</v>
      </c>
      <c r="P68" s="4">
        <v>96.28</v>
      </c>
      <c r="Q68" s="4">
        <v>93.62</v>
      </c>
      <c r="R68" s="3"/>
    </row>
    <row r="69" spans="1:18" ht="69.95" customHeight="1" x14ac:dyDescent="0.25">
      <c r="A69" s="3" t="s">
        <v>747</v>
      </c>
      <c r="B69" s="3" t="s">
        <v>594</v>
      </c>
      <c r="C69" s="3" t="s">
        <v>748</v>
      </c>
      <c r="D69" s="3" t="s">
        <v>749</v>
      </c>
      <c r="E69" s="3" t="s">
        <v>66</v>
      </c>
      <c r="F69" s="3" t="s">
        <v>104</v>
      </c>
      <c r="G69" s="3" t="s">
        <v>68</v>
      </c>
      <c r="H69" s="3" t="s">
        <v>453</v>
      </c>
      <c r="I69" s="4">
        <v>1411798728</v>
      </c>
      <c r="J69" s="4">
        <v>120549808</v>
      </c>
      <c r="K69" s="4">
        <v>1532348536</v>
      </c>
      <c r="L69" s="17">
        <v>44368</v>
      </c>
      <c r="M69" s="17"/>
      <c r="N69" s="17">
        <v>44925</v>
      </c>
      <c r="O69" s="17">
        <v>44407</v>
      </c>
      <c r="P69" s="4">
        <v>96.02</v>
      </c>
      <c r="Q69" s="4">
        <v>88.96</v>
      </c>
      <c r="R69" s="3"/>
    </row>
    <row r="70" spans="1:18" ht="69.95" customHeight="1" x14ac:dyDescent="0.25">
      <c r="A70" s="3" t="s">
        <v>750</v>
      </c>
      <c r="B70" s="3" t="s">
        <v>751</v>
      </c>
      <c r="C70" s="3" t="s">
        <v>752</v>
      </c>
      <c r="D70" s="3" t="s">
        <v>753</v>
      </c>
      <c r="E70" s="3" t="s">
        <v>66</v>
      </c>
      <c r="F70" s="3" t="s">
        <v>104</v>
      </c>
      <c r="G70" s="3" t="s">
        <v>68</v>
      </c>
      <c r="H70" s="3" t="s">
        <v>453</v>
      </c>
      <c r="I70" s="4">
        <v>1999997728</v>
      </c>
      <c r="J70" s="4">
        <v>663234720</v>
      </c>
      <c r="K70" s="4">
        <v>2663232448</v>
      </c>
      <c r="L70" s="17">
        <v>44536</v>
      </c>
      <c r="M70" s="17"/>
      <c r="N70" s="17">
        <v>44533</v>
      </c>
      <c r="O70" s="17">
        <v>44713</v>
      </c>
      <c r="P70" s="4">
        <v>90.56</v>
      </c>
      <c r="Q70" s="4">
        <v>43.52</v>
      </c>
      <c r="R70" s="3"/>
    </row>
    <row r="71" spans="1:18" ht="69.95" customHeight="1" x14ac:dyDescent="0.25">
      <c r="A71" s="3" t="s">
        <v>754</v>
      </c>
      <c r="B71" s="3" t="s">
        <v>648</v>
      </c>
      <c r="C71" s="3" t="s">
        <v>755</v>
      </c>
      <c r="D71" s="3" t="s">
        <v>756</v>
      </c>
      <c r="E71" s="3" t="s">
        <v>66</v>
      </c>
      <c r="F71" s="3" t="s">
        <v>104</v>
      </c>
      <c r="G71" s="3" t="s">
        <v>68</v>
      </c>
      <c r="H71" s="3" t="s">
        <v>503</v>
      </c>
      <c r="I71" s="4">
        <v>1999667231.96</v>
      </c>
      <c r="J71" s="4">
        <v>1036153791.2</v>
      </c>
      <c r="K71" s="4">
        <v>3035821023.1599998</v>
      </c>
      <c r="L71" s="17">
        <v>44537</v>
      </c>
      <c r="M71" s="17"/>
      <c r="N71" s="17">
        <v>44606</v>
      </c>
      <c r="O71" s="17">
        <v>44721</v>
      </c>
      <c r="P71" s="4">
        <v>91.99</v>
      </c>
      <c r="Q71" s="4">
        <v>98.96</v>
      </c>
      <c r="R71" s="3"/>
    </row>
    <row r="72" spans="1:18" ht="69.95" customHeight="1" x14ac:dyDescent="0.25">
      <c r="A72" s="3" t="s">
        <v>757</v>
      </c>
      <c r="B72" s="3" t="s">
        <v>648</v>
      </c>
      <c r="C72" s="3" t="s">
        <v>758</v>
      </c>
      <c r="D72" s="3" t="s">
        <v>759</v>
      </c>
      <c r="E72" s="3" t="s">
        <v>66</v>
      </c>
      <c r="F72" s="3" t="s">
        <v>104</v>
      </c>
      <c r="G72" s="3" t="s">
        <v>207</v>
      </c>
      <c r="H72" s="3" t="s">
        <v>760</v>
      </c>
      <c r="I72" s="4">
        <v>2000000000</v>
      </c>
      <c r="J72" s="4">
        <v>896725569</v>
      </c>
      <c r="K72" s="4">
        <v>2896725569</v>
      </c>
      <c r="L72" s="17">
        <v>44537</v>
      </c>
      <c r="M72" s="17"/>
      <c r="N72" s="17">
        <v>44606</v>
      </c>
      <c r="O72" s="17">
        <v>44740</v>
      </c>
      <c r="P72" s="4">
        <v>100.01</v>
      </c>
      <c r="Q72" s="4">
        <v>99.66</v>
      </c>
      <c r="R72" s="3"/>
    </row>
    <row r="73" spans="1:18" ht="69.95" customHeight="1" x14ac:dyDescent="0.25">
      <c r="A73" s="3" t="s">
        <v>761</v>
      </c>
      <c r="B73" s="3" t="s">
        <v>602</v>
      </c>
      <c r="C73" s="3" t="s">
        <v>762</v>
      </c>
      <c r="D73" s="3" t="s">
        <v>763</v>
      </c>
      <c r="E73" s="3" t="s">
        <v>66</v>
      </c>
      <c r="F73" s="3" t="s">
        <v>104</v>
      </c>
      <c r="G73" s="3" t="s">
        <v>68</v>
      </c>
      <c r="H73" s="3" t="s">
        <v>444</v>
      </c>
      <c r="I73" s="4">
        <v>1953855779</v>
      </c>
      <c r="J73" s="4">
        <v>505920337</v>
      </c>
      <c r="K73" s="4">
        <v>2459776116</v>
      </c>
      <c r="L73" s="17">
        <v>44537</v>
      </c>
      <c r="M73" s="17"/>
      <c r="N73" s="17">
        <v>44606</v>
      </c>
      <c r="O73" s="17">
        <v>44713</v>
      </c>
      <c r="P73" s="4">
        <v>98.32</v>
      </c>
      <c r="Q73" s="4">
        <v>98.46</v>
      </c>
      <c r="R73" s="3"/>
    </row>
    <row r="74" spans="1:18" ht="69.95" customHeight="1" x14ac:dyDescent="0.25">
      <c r="A74" s="3" t="s">
        <v>764</v>
      </c>
      <c r="B74" s="3" t="s">
        <v>570</v>
      </c>
      <c r="C74" s="3" t="s">
        <v>765</v>
      </c>
      <c r="D74" s="3" t="s">
        <v>766</v>
      </c>
      <c r="E74" s="3" t="s">
        <v>66</v>
      </c>
      <c r="F74" s="3" t="s">
        <v>104</v>
      </c>
      <c r="G74" s="3" t="s">
        <v>57</v>
      </c>
      <c r="H74" s="3" t="s">
        <v>444</v>
      </c>
      <c r="I74" s="4">
        <v>4351936180</v>
      </c>
      <c r="J74" s="4">
        <v>100000000</v>
      </c>
      <c r="K74" s="4">
        <v>4451936180</v>
      </c>
      <c r="L74" s="17">
        <v>44552</v>
      </c>
      <c r="M74" s="17"/>
      <c r="N74" s="17">
        <v>44560</v>
      </c>
      <c r="O74" s="17">
        <v>44588</v>
      </c>
      <c r="P74" s="4">
        <v>100</v>
      </c>
      <c r="Q74" s="4">
        <v>99.61</v>
      </c>
      <c r="R74" s="3"/>
    </row>
    <row r="75" spans="1:18" ht="69.95" customHeight="1" x14ac:dyDescent="0.25">
      <c r="A75" s="3" t="s">
        <v>767</v>
      </c>
      <c r="B75" s="3" t="s">
        <v>570</v>
      </c>
      <c r="C75" s="3" t="s">
        <v>768</v>
      </c>
      <c r="D75" s="3" t="s">
        <v>769</v>
      </c>
      <c r="E75" s="3" t="s">
        <v>66</v>
      </c>
      <c r="F75" s="3" t="s">
        <v>104</v>
      </c>
      <c r="G75" s="3" t="s">
        <v>57</v>
      </c>
      <c r="H75" s="3" t="s">
        <v>453</v>
      </c>
      <c r="I75" s="4">
        <v>19906880779</v>
      </c>
      <c r="J75" s="4">
        <v>72000000</v>
      </c>
      <c r="K75" s="4">
        <v>19978880779</v>
      </c>
      <c r="L75" s="17">
        <v>44700</v>
      </c>
      <c r="M75" s="17"/>
      <c r="N75" s="17">
        <v>44756</v>
      </c>
      <c r="O75" s="17">
        <v>44783</v>
      </c>
      <c r="P75" s="4">
        <v>100.01</v>
      </c>
      <c r="Q75" s="4">
        <v>99.34</v>
      </c>
      <c r="R75" s="3"/>
    </row>
    <row r="76" spans="1:18" ht="69.95" customHeight="1" x14ac:dyDescent="0.25">
      <c r="A76" s="3" t="s">
        <v>770</v>
      </c>
      <c r="B76" s="3" t="s">
        <v>543</v>
      </c>
      <c r="C76" s="3" t="s">
        <v>771</v>
      </c>
      <c r="D76" s="3" t="s">
        <v>772</v>
      </c>
      <c r="E76" s="3" t="s">
        <v>253</v>
      </c>
      <c r="F76" s="3" t="s">
        <v>215</v>
      </c>
      <c r="G76" s="3" t="s">
        <v>57</v>
      </c>
      <c r="H76" s="19" t="s">
        <v>444</v>
      </c>
      <c r="I76" s="4">
        <v>3981132848.27</v>
      </c>
      <c r="J76" s="4">
        <v>0</v>
      </c>
      <c r="K76" s="4">
        <v>3981132848.27</v>
      </c>
      <c r="L76" s="17">
        <v>44509</v>
      </c>
      <c r="M76" s="17"/>
      <c r="N76" s="17">
        <v>44511</v>
      </c>
      <c r="O76" s="17">
        <v>44594</v>
      </c>
      <c r="P76" s="4">
        <v>100</v>
      </c>
      <c r="Q76" s="4">
        <v>99.86</v>
      </c>
      <c r="R76" s="3"/>
    </row>
    <row r="77" spans="1:18" ht="69.95" customHeight="1" x14ac:dyDescent="0.25">
      <c r="A77" s="18" t="s">
        <v>773</v>
      </c>
      <c r="B77" s="3" t="s">
        <v>774</v>
      </c>
      <c r="C77" s="3" t="s">
        <v>775</v>
      </c>
      <c r="D77" s="3"/>
      <c r="E77" s="3" t="s">
        <v>92</v>
      </c>
      <c r="F77" s="3" t="s">
        <v>776</v>
      </c>
      <c r="G77" s="3" t="s">
        <v>336</v>
      </c>
      <c r="H77" s="21" t="s">
        <v>498</v>
      </c>
      <c r="I77" s="4">
        <v>2407058486</v>
      </c>
      <c r="J77" s="4">
        <v>216768.82000017169</v>
      </c>
      <c r="K77" s="4">
        <v>2407275254.8200002</v>
      </c>
      <c r="L77" s="17">
        <v>44844</v>
      </c>
      <c r="M77" s="17"/>
      <c r="N77" s="17"/>
      <c r="O77" s="17"/>
      <c r="P77" s="4">
        <v>0</v>
      </c>
      <c r="Q77" s="4">
        <v>0</v>
      </c>
      <c r="R77" s="3"/>
    </row>
    <row r="78" spans="1:18" ht="69.95" customHeight="1" x14ac:dyDescent="0.25">
      <c r="A78" s="3" t="s">
        <v>777</v>
      </c>
      <c r="B78" s="3" t="s">
        <v>543</v>
      </c>
      <c r="C78" s="3" t="s">
        <v>778</v>
      </c>
      <c r="D78" s="3" t="s">
        <v>779</v>
      </c>
      <c r="E78" s="3" t="s">
        <v>92</v>
      </c>
      <c r="F78" s="3" t="s">
        <v>780</v>
      </c>
      <c r="G78" s="3" t="s">
        <v>68</v>
      </c>
      <c r="H78" s="19" t="s">
        <v>453</v>
      </c>
      <c r="I78" s="4">
        <v>45601872749</v>
      </c>
      <c r="J78" s="4">
        <v>0</v>
      </c>
      <c r="K78" s="4">
        <v>45601872749</v>
      </c>
      <c r="L78" s="17">
        <v>44560</v>
      </c>
      <c r="M78" s="17"/>
      <c r="N78" s="17">
        <v>44559</v>
      </c>
      <c r="O78" s="17">
        <v>44669</v>
      </c>
      <c r="P78" s="4">
        <v>86.14</v>
      </c>
      <c r="Q78" s="4">
        <v>92.14</v>
      </c>
      <c r="R78" s="3"/>
    </row>
    <row r="79" spans="1:18" ht="69.95" customHeight="1" x14ac:dyDescent="0.25">
      <c r="A79" s="3" t="s">
        <v>781</v>
      </c>
      <c r="B79" s="3" t="s">
        <v>782</v>
      </c>
      <c r="C79" s="3" t="s">
        <v>783</v>
      </c>
      <c r="D79" s="3" t="s">
        <v>784</v>
      </c>
      <c r="E79" s="3" t="s">
        <v>92</v>
      </c>
      <c r="F79" s="3" t="s">
        <v>95</v>
      </c>
      <c r="G79" s="3" t="s">
        <v>57</v>
      </c>
      <c r="H79" s="19" t="s">
        <v>453</v>
      </c>
      <c r="I79" s="4">
        <v>2489078661</v>
      </c>
      <c r="J79" s="4">
        <v>0</v>
      </c>
      <c r="K79" s="4">
        <v>2489078661</v>
      </c>
      <c r="L79" s="17">
        <v>44559</v>
      </c>
      <c r="M79" s="17"/>
      <c r="N79" s="17">
        <v>44559</v>
      </c>
      <c r="O79" s="17">
        <v>44810</v>
      </c>
      <c r="P79" s="4">
        <v>100</v>
      </c>
      <c r="Q79" s="4">
        <v>99.97</v>
      </c>
      <c r="R79" s="3"/>
    </row>
    <row r="80" spans="1:18" ht="69.95" customHeight="1" x14ac:dyDescent="0.25">
      <c r="A80" s="3" t="s">
        <v>785</v>
      </c>
      <c r="B80" s="3" t="s">
        <v>786</v>
      </c>
      <c r="C80" s="3" t="s">
        <v>787</v>
      </c>
      <c r="D80" s="3" t="s">
        <v>788</v>
      </c>
      <c r="E80" s="3" t="s">
        <v>92</v>
      </c>
      <c r="F80" s="3" t="s">
        <v>95</v>
      </c>
      <c r="G80" s="3" t="s">
        <v>68</v>
      </c>
      <c r="H80" s="19" t="s">
        <v>458</v>
      </c>
      <c r="I80" s="4">
        <v>18036167387.900002</v>
      </c>
      <c r="J80" s="4">
        <v>0</v>
      </c>
      <c r="K80" s="4">
        <v>18036167387.900002</v>
      </c>
      <c r="L80" s="17">
        <v>44559</v>
      </c>
      <c r="M80" s="17"/>
      <c r="N80" s="29"/>
      <c r="O80" s="17">
        <v>44708</v>
      </c>
      <c r="P80" s="4">
        <v>81.45</v>
      </c>
      <c r="Q80" s="4">
        <v>82.2</v>
      </c>
      <c r="R80" s="3"/>
    </row>
    <row r="81" spans="1:18" ht="69.95" customHeight="1" x14ac:dyDescent="0.25">
      <c r="A81" s="3" t="s">
        <v>789</v>
      </c>
      <c r="B81" s="3" t="s">
        <v>782</v>
      </c>
      <c r="C81" s="3" t="s">
        <v>790</v>
      </c>
      <c r="D81" s="3" t="s">
        <v>791</v>
      </c>
      <c r="E81" s="3" t="s">
        <v>92</v>
      </c>
      <c r="F81" s="3" t="s">
        <v>165</v>
      </c>
      <c r="G81" s="3" t="s">
        <v>68</v>
      </c>
      <c r="H81" s="20" t="s">
        <v>458</v>
      </c>
      <c r="I81" s="4">
        <v>41816156185</v>
      </c>
      <c r="J81" s="4">
        <v>0</v>
      </c>
      <c r="K81" s="4">
        <v>41816156185</v>
      </c>
      <c r="L81" s="17">
        <v>44624</v>
      </c>
      <c r="M81" s="17"/>
      <c r="N81" s="17">
        <v>44624</v>
      </c>
      <c r="O81" s="17">
        <v>44873</v>
      </c>
      <c r="P81" s="4">
        <v>64.319999999999993</v>
      </c>
      <c r="Q81" s="4">
        <v>73.13</v>
      </c>
      <c r="R81" s="3"/>
    </row>
    <row r="82" spans="1:18" ht="69.95" customHeight="1" x14ac:dyDescent="0.25">
      <c r="A82" s="3" t="s">
        <v>792</v>
      </c>
      <c r="B82" s="3" t="s">
        <v>570</v>
      </c>
      <c r="C82" s="3" t="s">
        <v>793</v>
      </c>
      <c r="D82" s="3" t="s">
        <v>794</v>
      </c>
      <c r="E82" s="3" t="s">
        <v>66</v>
      </c>
      <c r="F82" s="3" t="s">
        <v>104</v>
      </c>
      <c r="G82" s="3" t="s">
        <v>68</v>
      </c>
      <c r="H82" s="3" t="s">
        <v>453</v>
      </c>
      <c r="I82" s="4">
        <v>9606506835</v>
      </c>
      <c r="J82" s="4">
        <v>90000000</v>
      </c>
      <c r="K82" s="4">
        <v>9696506835</v>
      </c>
      <c r="L82" s="17">
        <v>44887</v>
      </c>
      <c r="M82" s="17"/>
      <c r="N82" s="17">
        <v>44911</v>
      </c>
      <c r="O82" s="17">
        <v>45070</v>
      </c>
      <c r="P82" s="4">
        <v>99.96</v>
      </c>
      <c r="Q82" s="4">
        <v>92.4</v>
      </c>
      <c r="R82" s="3"/>
    </row>
    <row r="83" spans="1:18" ht="69.95" customHeight="1" x14ac:dyDescent="0.25">
      <c r="A83" s="3" t="s">
        <v>795</v>
      </c>
      <c r="B83" s="3" t="s">
        <v>796</v>
      </c>
      <c r="C83" s="3" t="s">
        <v>797</v>
      </c>
      <c r="D83" s="3" t="s">
        <v>798</v>
      </c>
      <c r="E83" s="3" t="s">
        <v>66</v>
      </c>
      <c r="F83" s="3" t="s">
        <v>104</v>
      </c>
      <c r="G83" s="3" t="s">
        <v>57</v>
      </c>
      <c r="H83" s="3" t="s">
        <v>503</v>
      </c>
      <c r="I83" s="4">
        <v>500000000</v>
      </c>
      <c r="J83" s="4">
        <v>85470000</v>
      </c>
      <c r="K83" s="4">
        <v>585470000</v>
      </c>
      <c r="L83" s="17">
        <v>44887</v>
      </c>
      <c r="M83" s="17"/>
      <c r="N83" s="17">
        <v>44930</v>
      </c>
      <c r="O83" s="17">
        <v>44986</v>
      </c>
      <c r="P83" s="4">
        <v>100</v>
      </c>
      <c r="Q83" s="4">
        <v>95.06</v>
      </c>
      <c r="R83" s="3"/>
    </row>
    <row r="84" spans="1:18" ht="69.95" customHeight="1" x14ac:dyDescent="0.25">
      <c r="A84" s="3" t="s">
        <v>799</v>
      </c>
      <c r="B84" s="3" t="s">
        <v>800</v>
      </c>
      <c r="C84" s="3" t="s">
        <v>801</v>
      </c>
      <c r="D84" s="3" t="s">
        <v>802</v>
      </c>
      <c r="E84" s="3" t="s">
        <v>66</v>
      </c>
      <c r="F84" s="3" t="s">
        <v>104</v>
      </c>
      <c r="G84" s="3" t="s">
        <v>68</v>
      </c>
      <c r="H84" s="3" t="s">
        <v>453</v>
      </c>
      <c r="I84" s="4">
        <v>4299593384</v>
      </c>
      <c r="J84" s="4">
        <v>126145067</v>
      </c>
      <c r="K84" s="4">
        <v>4425738451</v>
      </c>
      <c r="L84" s="17">
        <v>44914</v>
      </c>
      <c r="M84" s="17"/>
      <c r="N84" s="17">
        <v>45055</v>
      </c>
      <c r="O84" s="17">
        <v>45139</v>
      </c>
      <c r="P84" s="4">
        <v>82.82</v>
      </c>
      <c r="Q84" s="4">
        <v>82.73</v>
      </c>
      <c r="R84" s="3"/>
    </row>
    <row r="85" spans="1:18" ht="69.95" customHeight="1" x14ac:dyDescent="0.25">
      <c r="A85" s="3" t="s">
        <v>803</v>
      </c>
      <c r="B85" s="3" t="s">
        <v>804</v>
      </c>
      <c r="C85" s="3" t="s">
        <v>805</v>
      </c>
      <c r="D85" s="3" t="s">
        <v>806</v>
      </c>
      <c r="E85" s="3" t="s">
        <v>198</v>
      </c>
      <c r="F85" s="3" t="s">
        <v>95</v>
      </c>
      <c r="G85" s="3" t="s">
        <v>57</v>
      </c>
      <c r="H85" s="19" t="s">
        <v>444</v>
      </c>
      <c r="I85" s="4">
        <v>29623316906.279999</v>
      </c>
      <c r="J85" s="4">
        <v>0</v>
      </c>
      <c r="K85" s="4">
        <v>29623316906.279999</v>
      </c>
      <c r="L85" s="17">
        <v>44925</v>
      </c>
      <c r="M85" s="17"/>
      <c r="N85" s="17">
        <v>44952</v>
      </c>
      <c r="O85" s="17">
        <v>45030</v>
      </c>
      <c r="P85" s="4">
        <v>98.28</v>
      </c>
      <c r="Q85" s="4">
        <v>93.6</v>
      </c>
      <c r="R85" s="3"/>
    </row>
    <row r="86" spans="1:18" ht="69.95" customHeight="1" x14ac:dyDescent="0.25">
      <c r="A86" s="3" t="s">
        <v>807</v>
      </c>
      <c r="B86" s="3" t="s">
        <v>808</v>
      </c>
      <c r="C86" s="3" t="s">
        <v>809</v>
      </c>
      <c r="D86" s="3" t="s">
        <v>810</v>
      </c>
      <c r="E86" s="3" t="s">
        <v>92</v>
      </c>
      <c r="F86" s="3" t="s">
        <v>165</v>
      </c>
      <c r="G86" s="3" t="s">
        <v>68</v>
      </c>
      <c r="H86" s="19" t="s">
        <v>458</v>
      </c>
      <c r="I86" s="4">
        <v>30461715692</v>
      </c>
      <c r="J86" s="4">
        <v>0</v>
      </c>
      <c r="K86" s="4">
        <v>30461715692</v>
      </c>
      <c r="L86" s="17">
        <v>45064</v>
      </c>
      <c r="M86" s="17"/>
      <c r="N86" s="17">
        <v>45202</v>
      </c>
      <c r="O86" s="17">
        <v>45289</v>
      </c>
      <c r="P86" s="4">
        <v>83.59</v>
      </c>
      <c r="Q86" s="4">
        <v>90.33</v>
      </c>
      <c r="R86" s="3"/>
    </row>
    <row r="87" spans="1:18" ht="69.95" customHeight="1" x14ac:dyDescent="0.25">
      <c r="A87" s="3" t="s">
        <v>811</v>
      </c>
      <c r="B87" s="3" t="s">
        <v>812</v>
      </c>
      <c r="C87" s="3" t="s">
        <v>813</v>
      </c>
      <c r="D87" s="3" t="s">
        <v>814</v>
      </c>
      <c r="E87" s="3" t="s">
        <v>66</v>
      </c>
      <c r="F87" s="3" t="s">
        <v>104</v>
      </c>
      <c r="G87" s="3" t="s">
        <v>68</v>
      </c>
      <c r="H87" s="3" t="s">
        <v>453</v>
      </c>
      <c r="I87" s="4">
        <v>17454000000</v>
      </c>
      <c r="J87" s="4">
        <v>307000000</v>
      </c>
      <c r="K87" s="4">
        <v>17761000000</v>
      </c>
      <c r="L87" s="17">
        <v>45154</v>
      </c>
      <c r="M87" s="17"/>
      <c r="N87" s="17">
        <v>45428</v>
      </c>
      <c r="O87" s="17">
        <v>45317</v>
      </c>
      <c r="P87" s="4">
        <v>73.41</v>
      </c>
      <c r="Q87" s="4">
        <v>66.63</v>
      </c>
      <c r="R87" s="3"/>
    </row>
    <row r="88" spans="1:18" ht="69.95" customHeight="1" x14ac:dyDescent="0.25">
      <c r="A88" s="3" t="s">
        <v>815</v>
      </c>
      <c r="B88" s="3" t="s">
        <v>816</v>
      </c>
      <c r="C88" s="3" t="s">
        <v>817</v>
      </c>
      <c r="D88" s="3" t="s">
        <v>818</v>
      </c>
      <c r="E88" s="3" t="s">
        <v>66</v>
      </c>
      <c r="F88" s="3" t="s">
        <v>191</v>
      </c>
      <c r="G88" s="3" t="s">
        <v>68</v>
      </c>
      <c r="H88" s="3" t="s">
        <v>453</v>
      </c>
      <c r="I88" s="4">
        <v>8419333809</v>
      </c>
      <c r="J88" s="4">
        <v>1511453285</v>
      </c>
      <c r="K88" s="4">
        <v>9930787094</v>
      </c>
      <c r="L88" s="17">
        <v>45154</v>
      </c>
      <c r="M88" s="17"/>
      <c r="N88" s="17">
        <v>45281</v>
      </c>
      <c r="O88" s="17">
        <v>45328</v>
      </c>
      <c r="P88" s="4">
        <v>39.99</v>
      </c>
      <c r="Q88" s="4">
        <v>75.38</v>
      </c>
      <c r="R88" s="3"/>
    </row>
    <row r="89" spans="1:18" ht="69.95" customHeight="1" x14ac:dyDescent="0.25">
      <c r="A89" s="3" t="s">
        <v>819</v>
      </c>
      <c r="B89" s="3" t="s">
        <v>820</v>
      </c>
      <c r="C89" s="3" t="s">
        <v>821</v>
      </c>
      <c r="D89" s="3" t="s">
        <v>822</v>
      </c>
      <c r="E89" s="3" t="s">
        <v>349</v>
      </c>
      <c r="F89" s="3" t="s">
        <v>823</v>
      </c>
      <c r="G89" s="3" t="s">
        <v>68</v>
      </c>
      <c r="H89" s="19" t="s">
        <v>453</v>
      </c>
      <c r="I89" s="4">
        <v>94461519789</v>
      </c>
      <c r="J89" s="4">
        <v>0</v>
      </c>
      <c r="K89" s="4">
        <v>94461519789</v>
      </c>
      <c r="L89" s="17">
        <v>45290</v>
      </c>
      <c r="M89" s="17"/>
      <c r="N89" s="17">
        <v>45369</v>
      </c>
      <c r="O89" s="17">
        <v>45539</v>
      </c>
      <c r="P89" s="4">
        <v>77.47</v>
      </c>
      <c r="Q89" s="4">
        <v>92.23</v>
      </c>
      <c r="R89" s="3"/>
    </row>
    <row r="90" spans="1:18" ht="69.95" customHeight="1" x14ac:dyDescent="0.25">
      <c r="A90" s="3" t="s">
        <v>824</v>
      </c>
      <c r="B90" s="3" t="s">
        <v>640</v>
      </c>
      <c r="C90" s="3" t="s">
        <v>825</v>
      </c>
      <c r="D90" s="3" t="s">
        <v>826</v>
      </c>
      <c r="E90" s="3" t="s">
        <v>66</v>
      </c>
      <c r="F90" s="3" t="s">
        <v>827</v>
      </c>
      <c r="G90" s="3" t="s">
        <v>68</v>
      </c>
      <c r="H90" s="3" t="s">
        <v>453</v>
      </c>
      <c r="I90" s="4">
        <v>3362968761</v>
      </c>
      <c r="J90" s="4">
        <v>1180580884</v>
      </c>
      <c r="K90" s="4">
        <v>4543549645</v>
      </c>
      <c r="L90" s="17">
        <v>45596</v>
      </c>
      <c r="M90" s="17"/>
      <c r="N90" s="17">
        <v>45649</v>
      </c>
      <c r="O90" s="17">
        <v>45721</v>
      </c>
      <c r="P90" s="4">
        <v>23.04</v>
      </c>
      <c r="Q90" s="4">
        <v>22.96</v>
      </c>
      <c r="R90" s="3"/>
    </row>
    <row r="91" spans="1:18" ht="109.5" customHeight="1" x14ac:dyDescent="0.25">
      <c r="A91" s="3" t="s">
        <v>828</v>
      </c>
      <c r="B91" s="3" t="s">
        <v>721</v>
      </c>
      <c r="C91" s="3" t="s">
        <v>829</v>
      </c>
      <c r="D91" s="3" t="s">
        <v>830</v>
      </c>
      <c r="E91" s="3" t="s">
        <v>66</v>
      </c>
      <c r="F91" s="3" t="s">
        <v>104</v>
      </c>
      <c r="G91" s="3" t="s">
        <v>68</v>
      </c>
      <c r="H91" s="3" t="s">
        <v>453</v>
      </c>
      <c r="I91" s="4">
        <v>23600000000</v>
      </c>
      <c r="J91" s="4">
        <v>918488200</v>
      </c>
      <c r="K91" s="4">
        <v>24518488200</v>
      </c>
      <c r="L91" s="17">
        <v>45861</v>
      </c>
      <c r="M91" s="17"/>
      <c r="N91" s="17">
        <v>45916</v>
      </c>
      <c r="O91" s="17">
        <v>45965</v>
      </c>
      <c r="P91" s="4">
        <v>0.01</v>
      </c>
      <c r="Q91" s="4">
        <v>0</v>
      </c>
      <c r="R91" s="3"/>
    </row>
    <row r="92" spans="1:18" ht="69.95" customHeight="1" x14ac:dyDescent="0.25">
      <c r="A92" s="3" t="s">
        <v>831</v>
      </c>
      <c r="B92" s="3" t="s">
        <v>558</v>
      </c>
      <c r="C92" s="3" t="s">
        <v>832</v>
      </c>
      <c r="D92" s="3" t="s">
        <v>833</v>
      </c>
      <c r="E92" s="3" t="s">
        <v>66</v>
      </c>
      <c r="F92" s="3" t="s">
        <v>191</v>
      </c>
      <c r="G92" s="3" t="s">
        <v>68</v>
      </c>
      <c r="H92" s="3" t="s">
        <v>453</v>
      </c>
      <c r="I92" s="4">
        <v>30000000000</v>
      </c>
      <c r="J92" s="4">
        <v>1068885740</v>
      </c>
      <c r="K92" s="4">
        <v>31068885740</v>
      </c>
      <c r="L92" s="17">
        <v>45861</v>
      </c>
      <c r="M92" s="17"/>
      <c r="N92" s="17">
        <v>45904</v>
      </c>
      <c r="O92" s="17">
        <v>45976</v>
      </c>
      <c r="P92" s="4">
        <v>2.39</v>
      </c>
      <c r="Q92" s="4">
        <v>1.17</v>
      </c>
      <c r="R92" s="3"/>
    </row>
    <row r="93" spans="1:18" ht="69.95" customHeight="1" x14ac:dyDescent="0.25">
      <c r="A93" s="3" t="s">
        <v>834</v>
      </c>
      <c r="B93" s="3" t="s">
        <v>648</v>
      </c>
      <c r="C93" s="3" t="s">
        <v>835</v>
      </c>
      <c r="D93" s="3"/>
      <c r="E93" s="3" t="s">
        <v>66</v>
      </c>
      <c r="F93" s="3" t="s">
        <v>191</v>
      </c>
      <c r="G93" s="3" t="s">
        <v>68</v>
      </c>
      <c r="H93" s="3" t="s">
        <v>453</v>
      </c>
      <c r="I93" s="4">
        <v>30000000000</v>
      </c>
      <c r="J93" s="4">
        <v>899136874.04999924</v>
      </c>
      <c r="K93" s="4">
        <v>30899136874.049999</v>
      </c>
      <c r="L93" s="17">
        <v>45861</v>
      </c>
      <c r="M93" s="17"/>
      <c r="N93" s="17">
        <v>45926</v>
      </c>
      <c r="O93" s="17">
        <v>45980</v>
      </c>
      <c r="P93" s="4">
        <v>8.8000000000000007</v>
      </c>
      <c r="Q93" s="4">
        <v>10.53</v>
      </c>
      <c r="R93" s="3"/>
    </row>
    <row r="94" spans="1:18" ht="69.95" customHeight="1" x14ac:dyDescent="0.25">
      <c r="A94" s="3" t="s">
        <v>836</v>
      </c>
      <c r="B94" s="3" t="s">
        <v>837</v>
      </c>
      <c r="C94" s="3" t="s">
        <v>838</v>
      </c>
      <c r="D94" s="3"/>
      <c r="E94" s="3" t="s">
        <v>212</v>
      </c>
      <c r="F94" s="3" t="s">
        <v>215</v>
      </c>
      <c r="G94" s="3" t="s">
        <v>68</v>
      </c>
      <c r="H94" s="19" t="s">
        <v>453</v>
      </c>
      <c r="I94" s="4">
        <v>172253454</v>
      </c>
      <c r="J94" s="4">
        <v>0</v>
      </c>
      <c r="K94" s="4">
        <v>172253454</v>
      </c>
      <c r="L94" s="17">
        <v>45715</v>
      </c>
      <c r="M94" s="17"/>
      <c r="N94" s="17">
        <v>46008</v>
      </c>
      <c r="O94" s="17">
        <v>46014</v>
      </c>
      <c r="P94" s="4">
        <v>100</v>
      </c>
      <c r="Q94" s="4">
        <v>90</v>
      </c>
      <c r="R94" s="3"/>
    </row>
    <row r="95" spans="1:18" ht="69.95" customHeight="1" x14ac:dyDescent="0.25">
      <c r="A95" s="3" t="s">
        <v>839</v>
      </c>
      <c r="B95" s="3" t="s">
        <v>840</v>
      </c>
      <c r="C95" s="3" t="s">
        <v>841</v>
      </c>
      <c r="D95" s="3" t="s">
        <v>842</v>
      </c>
      <c r="E95" s="3" t="s">
        <v>212</v>
      </c>
      <c r="F95" s="3" t="s">
        <v>215</v>
      </c>
      <c r="G95" s="3" t="s">
        <v>68</v>
      </c>
      <c r="H95" s="20" t="s">
        <v>458</v>
      </c>
      <c r="I95" s="4">
        <v>511865531</v>
      </c>
      <c r="J95" s="4">
        <v>200000000</v>
      </c>
      <c r="K95" s="4">
        <v>711865531</v>
      </c>
      <c r="L95" s="17">
        <v>45756</v>
      </c>
      <c r="M95" s="17"/>
      <c r="N95" s="17">
        <v>45775</v>
      </c>
      <c r="O95" s="17">
        <v>45922</v>
      </c>
      <c r="P95" s="4">
        <v>79.33</v>
      </c>
      <c r="Q95" s="4">
        <v>69.88</v>
      </c>
      <c r="R95" s="3"/>
    </row>
    <row r="96" spans="1:18" ht="80.25" customHeight="1" x14ac:dyDescent="0.25">
      <c r="A96" s="3" t="s">
        <v>843</v>
      </c>
      <c r="B96" s="3" t="s">
        <v>844</v>
      </c>
      <c r="C96" s="3" t="s">
        <v>845</v>
      </c>
      <c r="D96" s="3"/>
      <c r="E96" s="3" t="s">
        <v>278</v>
      </c>
      <c r="F96" s="3" t="s">
        <v>215</v>
      </c>
      <c r="G96" s="3" t="s">
        <v>336</v>
      </c>
      <c r="H96" s="19" t="s">
        <v>498</v>
      </c>
      <c r="I96" s="4">
        <v>386045990.94</v>
      </c>
      <c r="J96" s="4">
        <v>200000000.00000009</v>
      </c>
      <c r="K96" s="4">
        <v>586045990.94000006</v>
      </c>
      <c r="L96" s="17">
        <v>45917</v>
      </c>
      <c r="M96" s="17"/>
      <c r="N96" s="17">
        <v>45938</v>
      </c>
      <c r="O96" s="17"/>
      <c r="P96" s="4">
        <v>0</v>
      </c>
      <c r="Q96" s="4">
        <v>0</v>
      </c>
      <c r="R96" s="3"/>
    </row>
    <row r="97" spans="1:18" ht="69.95" customHeight="1" x14ac:dyDescent="0.25">
      <c r="A97" s="3" t="s">
        <v>846</v>
      </c>
      <c r="B97" s="3" t="s">
        <v>847</v>
      </c>
      <c r="C97" s="3" t="s">
        <v>848</v>
      </c>
      <c r="D97" s="3" t="s">
        <v>849</v>
      </c>
      <c r="E97" s="3" t="s">
        <v>92</v>
      </c>
      <c r="F97" s="3" t="s">
        <v>95</v>
      </c>
      <c r="G97" s="3" t="s">
        <v>68</v>
      </c>
      <c r="H97" s="19" t="s">
        <v>453</v>
      </c>
      <c r="I97" s="4">
        <v>59900815918</v>
      </c>
      <c r="J97" s="4">
        <v>0</v>
      </c>
      <c r="K97" s="4">
        <v>59900815918</v>
      </c>
      <c r="L97" s="17">
        <v>45911</v>
      </c>
      <c r="M97" s="17"/>
      <c r="N97" s="17">
        <v>45922</v>
      </c>
      <c r="O97" s="17">
        <v>45974</v>
      </c>
      <c r="P97" s="4">
        <v>0.39</v>
      </c>
      <c r="Q97" s="4">
        <v>24.54</v>
      </c>
      <c r="R97" s="3"/>
    </row>
    <row r="98" spans="1:18" ht="69.95" customHeight="1" x14ac:dyDescent="0.25">
      <c r="A98" s="3" t="s">
        <v>850</v>
      </c>
      <c r="B98" s="3" t="s">
        <v>570</v>
      </c>
      <c r="C98" s="3" t="s">
        <v>851</v>
      </c>
      <c r="D98" s="3" t="s">
        <v>852</v>
      </c>
      <c r="E98" s="3" t="s">
        <v>349</v>
      </c>
      <c r="F98" s="3" t="s">
        <v>853</v>
      </c>
      <c r="G98" s="3" t="s">
        <v>68</v>
      </c>
      <c r="H98" s="19" t="s">
        <v>453</v>
      </c>
      <c r="I98" s="4">
        <v>28121067144</v>
      </c>
      <c r="J98" s="4">
        <v>142000000</v>
      </c>
      <c r="K98" s="4">
        <v>28263067144</v>
      </c>
      <c r="L98" s="17">
        <v>45861</v>
      </c>
      <c r="M98" s="17"/>
      <c r="N98" s="17">
        <v>45882</v>
      </c>
      <c r="O98" s="17">
        <v>45926</v>
      </c>
      <c r="P98" s="4">
        <v>7.97</v>
      </c>
      <c r="Q98" s="4">
        <v>27.96</v>
      </c>
      <c r="R98" s="3"/>
    </row>
    <row r="99" spans="1:18" ht="69.95" customHeight="1" x14ac:dyDescent="0.25">
      <c r="A99" s="3" t="s">
        <v>854</v>
      </c>
      <c r="B99" s="3" t="s">
        <v>640</v>
      </c>
      <c r="C99" s="3" t="s">
        <v>855</v>
      </c>
      <c r="D99" s="3" t="s">
        <v>856</v>
      </c>
      <c r="E99" s="3" t="s">
        <v>66</v>
      </c>
      <c r="F99" s="3" t="s">
        <v>104</v>
      </c>
      <c r="G99" s="3" t="s">
        <v>207</v>
      </c>
      <c r="H99" s="3" t="s">
        <v>503</v>
      </c>
      <c r="I99" s="4">
        <v>1989520159</v>
      </c>
      <c r="J99" s="4">
        <v>835888647</v>
      </c>
      <c r="K99" s="4">
        <v>2825408806</v>
      </c>
      <c r="L99" s="17">
        <v>44078</v>
      </c>
      <c r="M99" s="17"/>
      <c r="N99" s="17">
        <v>44176</v>
      </c>
      <c r="O99" s="17"/>
      <c r="P99" s="4">
        <v>98.57</v>
      </c>
      <c r="Q99" s="4">
        <v>98.93</v>
      </c>
      <c r="R99" s="3"/>
    </row>
    <row r="100" spans="1:18" ht="69.95" customHeight="1" x14ac:dyDescent="0.25">
      <c r="A100" s="3" t="s">
        <v>857</v>
      </c>
      <c r="B100" s="3" t="s">
        <v>858</v>
      </c>
      <c r="C100" s="3" t="s">
        <v>859</v>
      </c>
      <c r="D100" s="3" t="s">
        <v>860</v>
      </c>
      <c r="E100" s="3" t="s">
        <v>66</v>
      </c>
      <c r="F100" s="3" t="s">
        <v>104</v>
      </c>
      <c r="G100" s="3" t="s">
        <v>207</v>
      </c>
      <c r="H100" s="3" t="s">
        <v>503</v>
      </c>
      <c r="I100" s="4">
        <v>4869404585</v>
      </c>
      <c r="J100" s="4">
        <v>170383404</v>
      </c>
      <c r="K100" s="4">
        <v>5039787989</v>
      </c>
      <c r="L100" s="17">
        <v>44384</v>
      </c>
      <c r="M100" s="17"/>
      <c r="N100" s="17">
        <v>44407</v>
      </c>
      <c r="O100" s="17">
        <v>44560</v>
      </c>
      <c r="P100" s="4">
        <v>100</v>
      </c>
      <c r="Q100" s="4">
        <v>99.22</v>
      </c>
      <c r="R100" s="3"/>
    </row>
    <row r="101" spans="1:18" ht="69.95" customHeight="1" x14ac:dyDescent="0.25">
      <c r="A101" s="3" t="s">
        <v>861</v>
      </c>
      <c r="B101" s="3" t="s">
        <v>549</v>
      </c>
      <c r="C101" s="3" t="s">
        <v>862</v>
      </c>
      <c r="D101" s="3" t="s">
        <v>863</v>
      </c>
      <c r="E101" s="3" t="s">
        <v>92</v>
      </c>
      <c r="F101" s="3" t="s">
        <v>864</v>
      </c>
      <c r="G101" s="3" t="s">
        <v>207</v>
      </c>
      <c r="H101" s="3" t="s">
        <v>503</v>
      </c>
      <c r="I101" s="4">
        <v>2644584337.2600002</v>
      </c>
      <c r="J101" s="4">
        <v>0</v>
      </c>
      <c r="K101" s="4">
        <v>2644584337.2600002</v>
      </c>
      <c r="L101" s="17">
        <v>44456</v>
      </c>
      <c r="M101" s="17"/>
      <c r="N101" s="17">
        <v>44489</v>
      </c>
      <c r="O101" s="17">
        <v>44859</v>
      </c>
      <c r="P101" s="4">
        <v>100</v>
      </c>
      <c r="Q101" s="4">
        <v>99.98</v>
      </c>
      <c r="R101" s="3"/>
    </row>
    <row r="102" spans="1:18" ht="69.95" customHeight="1" x14ac:dyDescent="0.25">
      <c r="A102" s="3" t="s">
        <v>865</v>
      </c>
      <c r="B102" s="3" t="s">
        <v>508</v>
      </c>
      <c r="C102" s="3" t="s">
        <v>866</v>
      </c>
      <c r="D102" s="3" t="s">
        <v>867</v>
      </c>
      <c r="E102" s="3" t="s">
        <v>92</v>
      </c>
      <c r="F102" s="3" t="s">
        <v>868</v>
      </c>
      <c r="G102" s="3" t="s">
        <v>207</v>
      </c>
      <c r="H102" s="3" t="s">
        <v>503</v>
      </c>
      <c r="I102" s="4">
        <v>6578630543.6700001</v>
      </c>
      <c r="J102" s="4">
        <v>0</v>
      </c>
      <c r="K102" s="4">
        <v>6578630543.6700001</v>
      </c>
      <c r="L102" s="17">
        <v>44559</v>
      </c>
      <c r="M102" s="17"/>
      <c r="N102" s="17">
        <v>44566</v>
      </c>
      <c r="O102" s="17">
        <v>44697</v>
      </c>
      <c r="P102" s="4">
        <v>100</v>
      </c>
      <c r="Q102" s="4">
        <v>100</v>
      </c>
      <c r="R102" s="3"/>
    </row>
    <row r="103" spans="1:18" ht="69.95" customHeight="1" x14ac:dyDescent="0.25">
      <c r="A103" s="3" t="s">
        <v>869</v>
      </c>
      <c r="B103" s="3" t="s">
        <v>840</v>
      </c>
      <c r="C103" s="3" t="s">
        <v>870</v>
      </c>
      <c r="D103" s="3" t="s">
        <v>871</v>
      </c>
      <c r="E103" s="3" t="s">
        <v>92</v>
      </c>
      <c r="F103" s="3" t="s">
        <v>95</v>
      </c>
      <c r="G103" s="3" t="s">
        <v>207</v>
      </c>
      <c r="H103" s="3" t="s">
        <v>503</v>
      </c>
      <c r="I103" s="4">
        <v>6853127845.6300001</v>
      </c>
      <c r="J103" s="4">
        <v>0</v>
      </c>
      <c r="K103" s="4">
        <v>6853127845.6300001</v>
      </c>
      <c r="L103" s="17">
        <v>45216</v>
      </c>
      <c r="M103" s="17"/>
      <c r="N103" s="17">
        <v>45219</v>
      </c>
      <c r="O103" s="17">
        <v>45286</v>
      </c>
      <c r="P103" s="4">
        <v>100</v>
      </c>
      <c r="Q103" s="4">
        <v>99.99</v>
      </c>
      <c r="R103" s="3"/>
    </row>
    <row r="104" spans="1:18" ht="69.95" customHeight="1" x14ac:dyDescent="0.25">
      <c r="A104" s="3" t="s">
        <v>872</v>
      </c>
      <c r="B104" s="3" t="s">
        <v>847</v>
      </c>
      <c r="C104" s="3" t="s">
        <v>873</v>
      </c>
      <c r="D104" s="3"/>
      <c r="E104" s="3" t="s">
        <v>92</v>
      </c>
      <c r="F104" s="3" t="s">
        <v>874</v>
      </c>
      <c r="G104" s="3" t="s">
        <v>875</v>
      </c>
      <c r="H104" s="18" t="s">
        <v>498</v>
      </c>
      <c r="I104" s="4">
        <v>36139210439</v>
      </c>
      <c r="J104" s="4">
        <v>0</v>
      </c>
      <c r="K104" s="4">
        <v>36139210439</v>
      </c>
      <c r="L104" s="17">
        <v>46080</v>
      </c>
      <c r="M104" s="17"/>
      <c r="N104" s="17">
        <v>46091</v>
      </c>
      <c r="O104" s="17"/>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4576703-C4EA-42A2-935E-C76D3BE0FC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8937D50-EA8A-4E8E-9144-993F62C56134}">
  <ds:schemaRefs>
    <ds:schemaRef ds:uri="http://schemas.microsoft.com/sharepoint/v3/contenttype/forms"/>
  </ds:schemaRefs>
</ds:datastoreItem>
</file>

<file path=customXml/itemProps3.xml><?xml version="1.0" encoding="utf-8"?>
<ds:datastoreItem xmlns:ds="http://schemas.openxmlformats.org/officeDocument/2006/customXml" ds:itemID="{AA423ED4-21A6-41DF-89D7-6CD27D950967}">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MatrizSeguimientoEvaluacion</vt:lpstr>
      <vt:lpstr>OtrosEjecutoresDescentralizadas</vt:lpstr>
      <vt:lpstr>Hoja1</vt:lpstr>
      <vt:lpstr>OtrosEjecutoresMunicipios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Administrador</dc:creator>
  <cp:keywords/>
  <dc:description/>
  <cp:lastModifiedBy>Zamara Fernanda García Martínez</cp:lastModifiedBy>
  <cp:revision/>
  <dcterms:created xsi:type="dcterms:W3CDTF">2026-04-22T13:17:59Z</dcterms:created>
  <dcterms:modified xsi:type="dcterms:W3CDTF">2026-05-05T21:58:27Z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