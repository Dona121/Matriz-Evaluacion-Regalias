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610C36FD-FB7C-4FFC-97F8-5E14528A55C9}"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M16" i="2"/>
  <c r="AL16" i="2"/>
  <c r="AG16" i="2"/>
  <c r="AF16" i="2"/>
  <c r="AE16" i="2"/>
  <c r="AD16" i="2"/>
  <c r="AL15" i="2"/>
  <c r="AG15" i="2"/>
  <c r="AF15" i="2"/>
  <c r="AE15" i="2"/>
  <c r="AD15" i="2"/>
  <c r="AL14" i="2"/>
  <c r="AG14" i="2"/>
  <c r="AM14" i="2" s="1"/>
  <c r="AF14" i="2"/>
  <c r="AE14" i="2"/>
  <c r="AD14" i="2"/>
  <c r="AM13" i="2"/>
  <c r="AL13" i="2"/>
  <c r="AG13" i="2"/>
  <c r="AF13" i="2"/>
  <c r="AE13" i="2"/>
  <c r="AD13" i="2"/>
  <c r="AL12" i="2"/>
  <c r="AG12" i="2"/>
  <c r="AM12" i="2" s="1"/>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L6" i="2"/>
  <c r="AG6" i="2"/>
  <c r="AF6" i="2"/>
  <c r="AE6" i="2"/>
  <c r="AD6" i="2"/>
  <c r="AL5" i="2"/>
  <c r="AG5" i="2"/>
  <c r="AF5" i="2"/>
  <c r="AE5" i="2"/>
  <c r="AD5" i="2"/>
  <c r="AM4" i="2"/>
  <c r="AL4" i="2"/>
  <c r="AG4" i="2"/>
  <c r="AF4" i="2"/>
  <c r="AE4" i="2"/>
  <c r="AD4" i="2"/>
  <c r="AM3" i="2"/>
  <c r="AL3" i="2"/>
  <c r="AG3" i="2"/>
  <c r="AF3" i="2"/>
  <c r="AE3" i="2"/>
  <c r="AD3" i="2"/>
  <c r="AX60" i="1"/>
  <c r="AW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X56" i="1"/>
  <c r="AW56" i="1"/>
  <c r="AU56" i="1"/>
  <c r="AR56" i="1"/>
  <c r="AQ56" i="1"/>
  <c r="AP56" i="1"/>
  <c r="AO56" i="1"/>
  <c r="AW55" i="1"/>
  <c r="AU55" i="1"/>
  <c r="AR55" i="1"/>
  <c r="AQ55" i="1"/>
  <c r="AP55" i="1"/>
  <c r="AO55" i="1"/>
  <c r="AX54" i="1"/>
  <c r="AW54" i="1"/>
  <c r="AU54" i="1"/>
  <c r="AR54" i="1"/>
  <c r="AQ54" i="1"/>
  <c r="AP54" i="1"/>
  <c r="AO54" i="1"/>
  <c r="AX53" i="1"/>
  <c r="AW53" i="1"/>
  <c r="AU53" i="1"/>
  <c r="AR53" i="1"/>
  <c r="AQ53" i="1"/>
  <c r="AP53" i="1"/>
  <c r="AO53" i="1"/>
  <c r="AW52" i="1"/>
  <c r="AU52" i="1"/>
  <c r="AR52" i="1"/>
  <c r="AQ52" i="1"/>
  <c r="AP52" i="1"/>
  <c r="AO52" i="1"/>
  <c r="AW51" i="1"/>
  <c r="AU51" i="1"/>
  <c r="AR51" i="1"/>
  <c r="AQ51" i="1"/>
  <c r="AP51" i="1"/>
  <c r="AO51" i="1"/>
  <c r="AX50" i="1"/>
  <c r="AW50" i="1"/>
  <c r="AR50" i="1"/>
  <c r="AQ50" i="1"/>
  <c r="AP50" i="1"/>
  <c r="AO50" i="1"/>
  <c r="AX49" i="1"/>
  <c r="AW49" i="1"/>
  <c r="AU49" i="1"/>
  <c r="AR49" i="1"/>
  <c r="AQ49" i="1"/>
  <c r="AP49" i="1"/>
  <c r="AO49" i="1"/>
  <c r="AX48" i="1"/>
  <c r="AW48" i="1"/>
  <c r="AR48" i="1"/>
  <c r="AQ48" i="1"/>
  <c r="AP48" i="1"/>
  <c r="AO48" i="1"/>
  <c r="AW47" i="1"/>
  <c r="AU47" i="1"/>
  <c r="AR47" i="1"/>
  <c r="AQ47" i="1"/>
  <c r="AP47" i="1"/>
  <c r="AO47" i="1"/>
  <c r="AX46" i="1"/>
  <c r="AW46" i="1"/>
  <c r="AU46" i="1"/>
  <c r="AR46" i="1"/>
  <c r="AQ46" i="1"/>
  <c r="AP46" i="1"/>
  <c r="AO46" i="1"/>
  <c r="AW45" i="1"/>
  <c r="AU45" i="1"/>
  <c r="AR45" i="1"/>
  <c r="AQ45" i="1"/>
  <c r="AP45" i="1"/>
  <c r="AO45" i="1"/>
  <c r="AX44" i="1"/>
  <c r="AW44" i="1"/>
  <c r="AU44" i="1"/>
  <c r="AQ44" i="1"/>
  <c r="AR44" i="1" s="1"/>
  <c r="AP44" i="1"/>
  <c r="AO44" i="1"/>
  <c r="AX43" i="1"/>
  <c r="AW43" i="1"/>
  <c r="AU43" i="1"/>
  <c r="AR43" i="1"/>
  <c r="AQ43" i="1"/>
  <c r="AP43" i="1"/>
  <c r="AO43" i="1"/>
  <c r="AW42" i="1"/>
  <c r="AU42" i="1"/>
  <c r="AR42" i="1"/>
  <c r="AQ42" i="1"/>
  <c r="AP42" i="1"/>
  <c r="AO42" i="1"/>
  <c r="AW41" i="1"/>
  <c r="AU41" i="1"/>
  <c r="AR41" i="1"/>
  <c r="AQ41" i="1"/>
  <c r="AP41" i="1"/>
  <c r="AO41" i="1"/>
  <c r="AW40" i="1"/>
  <c r="AU40" i="1"/>
  <c r="AQ40" i="1"/>
  <c r="AR40" i="1" s="1"/>
  <c r="AP40" i="1"/>
  <c r="AO40" i="1"/>
  <c r="AX39" i="1"/>
  <c r="AW39" i="1"/>
  <c r="AR39" i="1"/>
  <c r="AQ39" i="1"/>
  <c r="AP39" i="1"/>
  <c r="AO39" i="1"/>
  <c r="AW38" i="1"/>
  <c r="AU38" i="1"/>
  <c r="AQ38" i="1"/>
  <c r="AR38" i="1" s="1"/>
  <c r="AP38" i="1"/>
  <c r="AO38" i="1"/>
  <c r="AX37" i="1"/>
  <c r="AW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W32" i="1"/>
  <c r="AU32" i="1"/>
  <c r="AQ32" i="1"/>
  <c r="AR32" i="1" s="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R27" i="1"/>
  <c r="AQ27" i="1"/>
  <c r="AP27" i="1"/>
  <c r="AO27" i="1"/>
  <c r="AW26" i="1"/>
  <c r="AU26" i="1"/>
  <c r="AR26" i="1"/>
  <c r="AQ26" i="1"/>
  <c r="AP26" i="1"/>
  <c r="AO26" i="1"/>
  <c r="AX25" i="1"/>
  <c r="AW25" i="1"/>
  <c r="AU25" i="1"/>
  <c r="AR25" i="1"/>
  <c r="AQ25" i="1"/>
  <c r="AP25" i="1"/>
  <c r="AO25" i="1"/>
  <c r="AX24" i="1"/>
  <c r="AW24" i="1"/>
  <c r="AR24" i="1"/>
  <c r="AQ24" i="1"/>
  <c r="AP24" i="1"/>
  <c r="AO24" i="1"/>
  <c r="AX23" i="1"/>
  <c r="AW23" i="1"/>
  <c r="AU23" i="1"/>
  <c r="AR23" i="1"/>
  <c r="AQ23" i="1"/>
  <c r="AP23" i="1"/>
  <c r="AO23" i="1"/>
  <c r="AW22" i="1"/>
  <c r="AU22" i="1"/>
  <c r="AQ22" i="1"/>
  <c r="AR22" i="1" s="1"/>
  <c r="AP22" i="1"/>
  <c r="AO22" i="1"/>
  <c r="AX21" i="1"/>
  <c r="AW21" i="1"/>
  <c r="AU21" i="1"/>
  <c r="AQ21" i="1"/>
  <c r="AR21" i="1" s="1"/>
  <c r="AP21" i="1"/>
  <c r="AO21" i="1"/>
  <c r="AX20" i="1"/>
  <c r="AW20" i="1"/>
  <c r="AQ20" i="1"/>
  <c r="AR20" i="1" s="1"/>
  <c r="AP20" i="1"/>
  <c r="AO20" i="1"/>
  <c r="AX19" i="1"/>
  <c r="AW19" i="1"/>
  <c r="AR19" i="1"/>
  <c r="AQ19" i="1"/>
  <c r="AP19" i="1"/>
  <c r="AO19" i="1"/>
  <c r="AX18" i="1"/>
  <c r="AW18" i="1"/>
  <c r="AR18" i="1"/>
  <c r="AQ18" i="1"/>
  <c r="AP18" i="1"/>
  <c r="AO18" i="1"/>
  <c r="AW17" i="1"/>
  <c r="AU17" i="1"/>
  <c r="AR17" i="1"/>
  <c r="AQ17" i="1"/>
  <c r="AP17" i="1"/>
  <c r="AO17" i="1"/>
  <c r="AX16" i="1"/>
  <c r="AW16" i="1"/>
  <c r="AQ16" i="1"/>
  <c r="AR16" i="1" s="1"/>
  <c r="AP16" i="1"/>
  <c r="AO16" i="1"/>
  <c r="AX15" i="1"/>
  <c r="AW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Q11" i="1"/>
  <c r="AR11" i="1" s="1"/>
  <c r="AP11" i="1"/>
  <c r="AO11" i="1"/>
  <c r="AX10" i="1"/>
  <c r="AW10" i="1"/>
  <c r="AR10" i="1"/>
  <c r="AQ10" i="1"/>
  <c r="AP10" i="1"/>
  <c r="AO10" i="1"/>
  <c r="AX9" i="1"/>
  <c r="AW9" i="1"/>
  <c r="AU9" i="1"/>
  <c r="AQ9" i="1"/>
  <c r="AR9" i="1" s="1"/>
  <c r="AP9" i="1"/>
  <c r="AO9" i="1"/>
  <c r="AX8" i="1"/>
  <c r="AW8" i="1"/>
  <c r="AR8" i="1"/>
  <c r="AQ8" i="1"/>
  <c r="AP8" i="1"/>
  <c r="AO8" i="1"/>
  <c r="AX7" i="1"/>
  <c r="AW7" i="1"/>
  <c r="AU7" i="1"/>
  <c r="AR7" i="1"/>
  <c r="AQ7" i="1"/>
  <c r="AP7" i="1"/>
  <c r="AO7" i="1"/>
  <c r="AX6" i="1"/>
  <c r="AW6" i="1"/>
  <c r="AQ6" i="1"/>
  <c r="AR6" i="1" s="1"/>
  <c r="AP6" i="1"/>
  <c r="AO6" i="1"/>
  <c r="AX5" i="1"/>
  <c r="AW5" i="1"/>
  <c r="AR5" i="1"/>
  <c r="AQ5" i="1"/>
  <c r="AP5" i="1"/>
  <c r="AO5" i="1"/>
  <c r="AX4" i="1"/>
  <c r="AW4" i="1"/>
  <c r="AU4" i="1"/>
  <c r="AQ4" i="1"/>
  <c r="AR4" i="1" s="1"/>
  <c r="AP4" i="1"/>
  <c r="AO4" i="1"/>
  <c r="AX3" i="1"/>
  <c r="AW3" i="1"/>
  <c r="AR3" i="1"/>
  <c r="AQ3" i="1"/>
  <c r="AP3" i="1"/>
  <c r="AO3" i="1"/>
  <c r="AM10" i="2" l="1"/>
  <c r="AM6" i="2"/>
  <c r="AM15" i="2"/>
  <c r="AM7" i="2"/>
  <c r="AM11" i="2"/>
  <c r="AM5" i="2"/>
  <c r="AX26" i="1"/>
  <c r="AX52" i="1"/>
  <c r="AX36" i="1"/>
  <c r="AX38" i="1"/>
  <c r="AX40" i="1"/>
  <c r="AX42" i="1"/>
  <c r="AX22" i="1"/>
  <c r="AX51" i="1"/>
  <c r="AX55" i="1"/>
  <c r="AX45" i="1"/>
</calcChain>
</file>

<file path=xl/sharedStrings.xml><?xml version="1.0" encoding="utf-8"?>
<sst xmlns="http://schemas.openxmlformats.org/spreadsheetml/2006/main" count="2023" uniqueCount="1014">
  <si>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</si>
  <si>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</si>
  <si>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</si>
  <si>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</si>
  <si>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</si>
  <si>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</si>
  <si>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</si>
  <si>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</si>
  <si>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</si>
  <si>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</si>
  <si>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</si>
  <si>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</si>
  <si>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</si>
  <si>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</si>
  <si>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</si>
  <si>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</si>
  <si>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</si>
  <si>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</si>
  <si>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</si>
  <si>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</si>
  <si>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</si>
  <si>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</si>
  <si>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</si>
  <si>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</si>
  <si>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</si>
  <si>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</si>
  <si>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</si>
  <si>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</si>
  <si>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</si>
  <si>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</si>
  <si>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</si>
  <si>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</si>
  <si>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</si>
  <si>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</si>
  <si>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</si>
  <si>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</si>
  <si>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</si>
  <si>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</si>
  <si>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</si>
  <si>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</si>
  <si>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</si>
  <si>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</si>
  <si>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</si>
  <si>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</si>
  <si>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</si>
  <si>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</si>
  <si>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</si>
  <si>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</si>
  <si>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</si>
  <si>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</si>
  <si>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</si>
  <si>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</si>
  <si>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</si>
  <si>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</si>
  <si>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</si>
  <si>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</si>
  <si>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</si>
  <si>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</si>
  <si>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</si>
  <si>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</si>
  <si>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</si>
  <si>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</si>
  <si>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</si>
  <si>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</si>
  <si>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</si>
  <si>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</si>
  <si>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</si>
  <si>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</si>
  <si>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</si>
  <si>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</si>
  <si>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</si>
  <si>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</si>
  <si>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</si>
  <si>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</si>
  <si>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</si>
  <si>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</si>
  <si>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</si>
  <si>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</si>
  <si>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</si>
  <si>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</si>
  <si>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</si>
  <si>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</si>
  <si>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</si>
  <si>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</si>
  <si>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</si>
  <si>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</si>
  <si>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</si>
  <si>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</si>
  <si>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</si>
  <si>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</si>
  <si>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</si>
  <si>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</si>
  <si>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</si>
  <si>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</si>
  <si>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</si>
  <si>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</si>
  <si>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</si>
  <si>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</si>
  <si>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</si>
  <si>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</si>
  <si>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</si>
  <si>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</si>
  <si>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</si>
  <si>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</si>
  <si>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</si>
  <si>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</si>
  <si>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</si>
  <si>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</si>
  <si>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</si>
  <si>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</si>
  <si>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</si>
  <si>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</si>
  <si>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</si>
  <si>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</si>
  <si>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</si>
  <si>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</si>
  <si>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</si>
  <si>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</si>
  <si>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</si>
  <si>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</si>
  <si>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</si>
  <si>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</si>
  <si>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</si>
  <si>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</si>
  <si>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</si>
  <si>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</si>
  <si>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</si>
  <si>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</si>
  <si>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</si>
  <si>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</si>
  <si>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</si>
  <si>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</si>
  <si>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</si>
  <si>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</si>
  <si>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</si>
  <si>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</si>
  <si>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</si>
  <si>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</si>
  <si>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</si>
  <si>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</si>
  <si>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</si>
  <si>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</si>
  <si>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</si>
  <si>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</si>
  <si>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</si>
  <si>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</si>
  <si>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</si>
  <si>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</si>
  <si>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</si>
  <si>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</si>
  <si>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</si>
  <si>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</si>
  <si>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</si>
  <si>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</si>
  <si>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</si>
  <si>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</si>
  <si>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</si>
  <si>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</si>
  <si>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</si>
  <si>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</si>
  <si>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</si>
  <si>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</si>
  <si>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</si>
  <si>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</si>
  <si>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</si>
  <si>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</si>
  <si>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</si>
  <si>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</si>
  <si>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</si>
  <si>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</si>
  <si>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</si>
  <si>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</si>
  <si>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</si>
  <si>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</si>
  <si>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</si>
  <si>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</si>
  <si>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</si>
  <si>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</si>
  <si>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</si>
  <si>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</si>
  <si>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</si>
  <si>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</si>
  <si>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</si>
  <si>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</si>
  <si>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</si>
  <si>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</si>
  <si>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</si>
  <si>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</si>
  <si>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</si>
  <si>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</si>
  <si>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</si>
  <si>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</si>
  <si>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</si>
  <si>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</si>
  <si>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</si>
  <si>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</si>
  <si>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</si>
  <si>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</si>
  <si>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</si>
  <si>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</si>
  <si>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</si>
  <si>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</si>
  <si>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</si>
  <si>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</si>
  <si>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</si>
  <si>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</si>
  <si>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</si>
  <si>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</si>
  <si>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</si>
  <si>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</si>
  <si>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</si>
  <si>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</si>
  <si>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</si>
  <si>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</si>
  <si>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</si>
  <si>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</si>
  <si>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</si>
  <si>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</si>
  <si>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</si>
  <si>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</si>
  <si>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</si>
  <si>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</si>
  <si>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</si>
  <si>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</si>
  <si>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</si>
  <si>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</si>
  <si>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</si>
  <si>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</si>
  <si>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</si>
  <si>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</si>
  <si>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</si>
  <si>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</si>
  <si>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</si>
  <si>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</si>
  <si>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</si>
  <si>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</si>
  <si>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</si>
  <si>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</si>
  <si>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</si>
  <si>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</si>
  <si>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</si>
  <si>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</si>
  <si>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</si>
  <si>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</si>
  <si>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</si>
  <si>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</si>
  <si>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</si>
  <si>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</si>
  <si>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</si>
  <si>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</si>
  <si>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</si>
  <si>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</si>
  <si>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</si>
  <si>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</si>
  <si>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</si>
  <si>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</si>
  <si>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</si>
  <si>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</si>
  <si>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</si>
  <si>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</si>
  <si>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</si>
  <si>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</si>
  <si>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</si>
  <si>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</si>
  <si>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</si>
  <si>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</si>
  <si>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</si>
  <si>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</si>
  <si>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</si>
  <si>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</si>
  <si>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</si>
  <si>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</si>
  <si>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</si>
  <si>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</si>
  <si>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</si>
  <si>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</si>
  <si>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</si>
  <si>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</si>
  <si>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</si>
  <si>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</si>
  <si>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</si>
  <si>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</si>
  <si>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</si>
  <si>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</si>
  <si>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</si>
  <si>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</si>
  <si>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</si>
  <si>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</si>
  <si>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</si>
  <si>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</si>
  <si>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</si>
  <si>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</si>
  <si>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</si>
  <si>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</si>
  <si>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</si>
  <si>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</si>
  <si>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</si>
  <si>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</si>
  <si>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</si>
  <si>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</si>
  <si>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</si>
  <si>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</si>
  <si>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</si>
  <si>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</si>
  <si>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</si>
  <si>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</si>
  <si>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</si>
  <si>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</si>
  <si>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</si>
  <si>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</si>
  <si>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</si>
  <si>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</si>
  <si>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</si>
  <si>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</si>
  <si>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</si>
  <si>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</si>
  <si>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</si>
  <si>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</si>
  <si>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</si>
  <si>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</si>
  <si>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</si>
  <si>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</si>
  <si>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</si>
  <si>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</si>
  <si>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</si>
  <si>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</si>
  <si>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</si>
  <si>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</si>
  <si>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</si>
  <si>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</si>
  <si>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</si>
  <si>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</si>
  <si>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</si>
  <si>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</si>
  <si>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</si>
  <si>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</si>
  <si>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</si>
  <si>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</si>
  <si>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</si>
  <si>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</si>
  <si>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</si>
  <si>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</si>
  <si>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</si>
  <si>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</si>
  <si>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</si>
  <si>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</si>
  <si>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</si>
  <si>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</si>
  <si>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</si>
  <si>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</si>
  <si>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</si>
  <si>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</si>
  <si>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</si>
  <si>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</si>
  <si>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</si>
  <si>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</si>
  <si>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</si>
  <si>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</si>
  <si>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</si>
  <si>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</si>
  <si>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</si>
  <si>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</si>
  <si>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</si>
  <si>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</si>
  <si>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</si>
  <si>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</si>
  <si>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</si>
  <si>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</si>
  <si>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</si>
  <si>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</si>
  <si>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</si>
  <si>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</si>
  <si>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</si>
  <si>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</si>
  <si>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</si>
  <si>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</si>
  <si>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</si>
  <si>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</si>
  <si>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</si>
  <si>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</si>
  <si>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</si>
  <si>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</si>
  <si>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</si>
  <si>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</si>
  <si>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</si>
  <si>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</si>
  <si>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</si>
  <si>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</si>
  <si>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</si>
  <si>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</si>
  <si>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</si>
  <si>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</si>
  <si>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</si>
  <si>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</si>
  <si>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</si>
  <si>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</si>
  <si>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</si>
  <si>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</si>
  <si>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</si>
  <si>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</si>
  <si>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</si>
  <si>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</si>
  <si>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</si>
  <si>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</si>
  <si>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</si>
  <si>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</si>
  <si>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</si>
  <si>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</si>
  <si>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</si>
  <si>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</si>
  <si>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</si>
  <si>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</si>
  <si>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</si>
  <si>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</si>
  <si>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</si>
  <si>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</si>
  <si>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</si>
  <si>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</si>
  <si>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</si>
  <si>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</si>
  <si>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</si>
  <si>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</si>
  <si>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</si>
  <si>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</si>
  <si>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</si>
  <si>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</si>
  <si>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</si>
  <si>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</si>
  <si>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</si>
  <si>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</si>
  <si>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</si>
  <si>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</si>
  <si>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</si>
  <si>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</si>
  <si>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</si>
  <si>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</si>
  <si>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</si>
  <si>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</si>
  <si>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</si>
  <si>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</si>
  <si>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</si>
  <si>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</si>
  <si>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</si>
  <si>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</si>
  <si>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</si>
  <si>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</si>
  <si>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</si>
  <si>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</si>
  <si>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</si>
  <si>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</si>
  <si>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</si>
  <si>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</si>
  <si>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</si>
  <si>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</si>
  <si>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</si>
  <si>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</si>
  <si>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</si>
  <si>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</si>
  <si>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</si>
  <si>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</si>
  <si>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</si>
  <si>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</si>
  <si>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</si>
  <si>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</si>
  <si>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</si>
  <si>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</si>
  <si>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</si>
  <si>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</si>
  <si>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</si>
  <si>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</si>
  <si>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</si>
  <si>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</si>
  <si>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</si>
  <si>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</si>
  <si>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</si>
  <si>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</si>
  <si>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</si>
  <si>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</si>
  <si>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</si>
  <si>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</si>
  <si>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</si>
  <si>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</si>
  <si>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</si>
  <si>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</si>
  <si>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</si>
  <si>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</si>
  <si>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</si>
  <si>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</si>
  <si>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</si>
  <si>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</si>
  <si>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</si>
  <si>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</si>
  <si>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</si>
  <si>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</si>
  <si>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</si>
  <si>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</si>
  <si>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</si>
  <si>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</si>
  <si>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</si>
  <si>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</si>
  <si>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</si>
  <si>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</si>
  <si>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</si>
  <si>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</si>
  <si>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</si>
  <si>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</si>
  <si>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</si>
  <si>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</si>
  <si>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</si>
  <si>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</si>
  <si>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</si>
  <si>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</si>
  <si>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</si>
  <si>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</si>
  <si>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</si>
  <si>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</si>
  <si>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</si>
  <si>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</si>
  <si>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</si>
  <si>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</si>
  <si>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</si>
  <si>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</si>
  <si>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</si>
  <si>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</si>
  <si>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</si>
  <si>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</si>
  <si>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</si>
  <si>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</si>
  <si>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</si>
  <si>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</si>
  <si>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</si>
  <si>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</si>
  <si>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</si>
  <si>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</si>
  <si>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</si>
  <si>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</si>
  <si>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</si>
  <si>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</si>
  <si>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</si>
  <si>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</si>
  <si>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</si>
  <si>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</si>
  <si>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</si>
  <si>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</si>
  <si>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</si>
  <si>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</si>
  <si>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</si>
  <si>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</si>
  <si>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</si>
  <si>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</si>
  <si>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</si>
  <si>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</si>
  <si>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</si>
  <si>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</si>
  <si>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</si>
  <si>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</si>
  <si>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</si>
  <si>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</si>
  <si>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</si>
  <si>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</si>
  <si>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</si>
  <si>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</si>
  <si>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</si>
  <si>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</si>
  <si>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</si>
  <si>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</si>
  <si>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</si>
  <si>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</si>
  <si>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</si>
  <si>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</si>
  <si>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</si>
  <si>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</si>
  <si>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</si>
  <si>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</si>
  <si>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</si>
  <si>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</si>
  <si>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</si>
  <si>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</si>
  <si>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</si>
  <si>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</si>
  <si>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</si>
  <si>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</si>
  <si>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</si>
  <si>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</si>
  <si>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</si>
  <si>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</si>
  <si>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</si>
  <si>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</si>
  <si>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</si>
  <si>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</si>
  <si>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</si>
  <si>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</si>
  <si>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</si>
  <si>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</si>
  <si>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</si>
  <si>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</si>
  <si>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</si>
  <si>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</si>
  <si>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</si>
  <si>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</si>
  <si>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</si>
  <si>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</si>
  <si>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</si>
  <si>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</si>
  <si>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</si>
  <si>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</si>
  <si>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</si>
  <si>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</si>
  <si>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</si>
  <si>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</si>
  <si>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</si>
  <si>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</si>
  <si>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</si>
  <si>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</si>
  <si>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</si>
  <si>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</si>
  <si>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</si>
  <si>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</si>
  <si>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</si>
  <si>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</si>
  <si>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</si>
  <si>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</si>
  <si>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</si>
  <si>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</si>
  <si>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</si>
  <si>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</si>
  <si>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</si>
  <si>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</si>
  <si>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</si>
  <si>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</si>
  <si>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</si>
  <si>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</si>
  <si>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</si>
  <si>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</si>
  <si>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</si>
  <si>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</si>
  <si>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</si>
  <si>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</si>
  <si>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</si>
  <si>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</si>
  <si>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</si>
  <si>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</si>
  <si>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</si>
  <si>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</si>
  <si>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</si>
  <si>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</si>
  <si>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</si>
  <si>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</si>
  <si>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</si>
  <si>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</si>
  <si>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</si>
  <si>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</si>
  <si>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</si>
  <si>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</si>
  <si>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</si>
  <si>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</si>
  <si>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</si>
  <si>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</si>
  <si>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</si>
  <si>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</si>
  <si>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</si>
  <si>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</si>
  <si>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</si>
  <si>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</si>
  <si>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</si>
  <si>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</si>
  <si>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</si>
  <si>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</si>
  <si>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</si>
  <si>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</si>
  <si>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</si>
  <si>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</si>
  <si>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</si>
  <si>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</si>
  <si>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</si>
  <si>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</si>
  <si>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</si>
  <si>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</si>
  <si>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</si>
  <si>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</si>
  <si>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</si>
  <si>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</si>
  <si>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</si>
  <si>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</si>
  <si>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</si>
  <si>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</si>
  <si>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</si>
  <si>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</si>
  <si>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</si>
  <si>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</si>
  <si>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</si>
  <si>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</si>
  <si>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</si>
  <si>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</si>
  <si>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</si>
  <si>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</si>
  <si>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</si>
  <si>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</si>
  <si>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</si>
  <si>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</si>
  <si>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</si>
  <si>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</si>
  <si>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</si>
  <si>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</si>
  <si>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</si>
  <si>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</si>
  <si>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</si>
  <si>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</si>
  <si>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</si>
  <si>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</si>
  <si>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</si>
  <si>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</si>
  <si>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</si>
  <si>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</si>
  <si>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</si>
  <si>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</si>
  <si>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</si>
  <si>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</si>
  <si>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</si>
  <si>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</si>
  <si>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</si>
  <si>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</si>
  <si>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</si>
  <si>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</si>
  <si>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</si>
  <si>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</si>
  <si>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</si>
  <si>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</si>
  <si>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</si>
  <si>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</si>
  <si>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</si>
  <si>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</si>
  <si>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</si>
  <si>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</si>
  <si>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</si>
  <si>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</si>
  <si>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</si>
  <si>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</si>
  <si>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</si>
  <si>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</si>
  <si>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</si>
  <si>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</si>
  <si>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</si>
  <si>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</si>
  <si>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</si>
  <si>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</si>
  <si>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</si>
  <si>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</si>
  <si>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</si>
  <si>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</si>
  <si>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</si>
  <si>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</si>
  <si>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</si>
  <si>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</si>
  <si>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</si>
  <si>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</si>
  <si>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</si>
  <si>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</si>
  <si>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</si>
  <si>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</si>
  <si>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</si>
  <si>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</si>
  <si>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</si>
  <si>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</si>
  <si>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</si>
  <si>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</si>
  <si>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</si>
  <si>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</si>
  <si>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</si>
  <si>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</si>
  <si>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</si>
  <si>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</si>
  <si>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</si>
  <si>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</si>
  <si>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</si>
  <si>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</si>
  <si>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</si>
  <si>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</si>
  <si>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</si>
  <si>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</si>
  <si>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</si>
  <si>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</si>
  <si>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</si>
  <si>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</si>
  <si>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</si>
  <si>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</si>
  <si>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</si>
  <si>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</si>
  <si>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</si>
  <si>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</si>
  <si>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</si>
  <si>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</si>
  <si>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</si>
  <si>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</si>
  <si>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</si>
  <si>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</si>
  <si>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</si>
  <si>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</si>
  <si>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</si>
  <si>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</si>
  <si>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</si>
  <si>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</si>
  <si>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</si>
  <si>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</si>
  <si>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</si>
  <si>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</si>
  <si>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</si>
  <si>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</si>
  <si>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</si>
  <si>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</si>
  <si>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</si>
  <si>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</si>
  <si>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</si>
  <si>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</si>
  <si>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</si>
  <si>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</si>
  <si>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</si>
  <si>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</si>
  <si>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</si>
  <si>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</si>
  <si>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</si>
  <si>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</si>
  <si>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</si>
  <si>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</si>
  <si>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</si>
  <si>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</si>
  <si>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</si>
  <si>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</si>
  <si>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</si>
  <si>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</si>
  <si>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</si>
  <si>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</si>
  <si>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</si>
  <si>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</si>
  <si>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</si>
  <si>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</si>
  <si>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</si>
  <si>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</si>
  <si>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</si>
  <si>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</si>
  <si>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</si>
  <si>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</si>
  <si>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</si>
  <si>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</si>
  <si>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</si>
  <si>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</si>
  <si>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</si>
  <si>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</si>
  <si>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</si>
  <si>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</si>
  <si>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</si>
  <si>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</si>
  <si>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</si>
  <si>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</si>
  <si>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</si>
  <si>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</si>
  <si>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</si>
  <si>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</si>
  <si>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</si>
  <si>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</si>
  <si>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</si>
  <si>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</si>
  <si>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</si>
  <si>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</si>
  <si>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</si>
  <si>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</si>
  <si>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</si>
  <si>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</si>
  <si>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</si>
  <si>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</si>
  <si>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</si>
  <si>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</si>
  <si>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</si>
  <si>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</si>
  <si>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</si>
  <si>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</si>
  <si>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</si>
  <si>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</si>
  <si>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</si>
  <si>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</si>
  <si>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</si>
  <si>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</si>
  <si>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</si>
  <si>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</si>
  <si>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</si>
  <si>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</si>
  <si>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</si>
  <si>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</si>
  <si>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</si>
  <si>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</si>
  <si>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</si>
  <si>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</si>
  <si>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</si>
  <si>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</si>
  <si>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</si>
  <si>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</si>
  <si>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</si>
  <si>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</si>
  <si>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</si>
  <si>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</si>
  <si>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</si>
  <si>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</si>
  <si>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</si>
  <si>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</si>
  <si>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</si>
  <si>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</si>
  <si>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</si>
  <si>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</si>
  <si>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</si>
  <si>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</si>
  <si>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</si>
  <si>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</si>
  <si>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</si>
  <si>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</si>
  <si>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</si>
  <si>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</si>
  <si>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</si>
  <si>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</si>
  <si>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</si>
  <si>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</si>
  <si>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</si>
  <si>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</si>
  <si>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</si>
  <si>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</si>
  <si>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</si>
  <si>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</si>
  <si>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</si>
  <si>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</si>
  <si>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</si>
  <si>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</si>
  <si>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</si>
  <si>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</si>
  <si>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</si>
  <si>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</si>
  <si>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</si>
  <si>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</si>
  <si>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</si>
  <si>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</si>
  <si>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</si>
  <si>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</si>
  <si>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</si>
  <si>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</si>
  <si>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</si>
  <si>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</si>
  <si>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</si>
  <si>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</si>
  <si>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</si>
  <si>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</si>
  <si>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</si>
  <si>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</si>
  <si>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</si>
  <si>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</si>
  <si>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</si>
  <si>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</si>
  <si>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</si>
  <si>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</si>
  <si>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</si>
  <si>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</si>
  <si>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</si>
  <si>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</si>
  <si>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</si>
  <si>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</si>
  <si>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</si>
  <si>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</si>
  <si>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</si>
  <si>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</si>
  <si>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</si>
  <si>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</si>
  <si>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</si>
  <si>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</si>
  <si>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</si>
  <si>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</si>
  <si>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</si>
  <si>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</si>
  <si>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</si>
  <si>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</si>
  <si>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</si>
  <si>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</si>
  <si>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</si>
  <si>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</si>
  <si>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</si>
  <si>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</si>
  <si>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</si>
  <si>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</si>
  <si>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</si>
  <si>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</si>
  <si>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</si>
  <si>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</si>
  <si>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</si>
  <si>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</si>
  <si>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</si>
  <si>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</si>
  <si>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</si>
  <si>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</si>
  <si>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</si>
  <si>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</si>
  <si>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</si>
  <si>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</si>
  <si>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</si>
  <si>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</si>
  <si>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</si>
  <si>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</si>
  <si>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</si>
  <si>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</si>
  <si>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</si>
  <si>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</si>
  <si>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</si>
  <si>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</si>
  <si>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</si>
  <si>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</si>
  <si>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</si>
  <si>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</si>
  <si>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</si>
  <si>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 xml:space="preserve">FECHA DE SUSPENSIÓN DEL CONTRATO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</si>
</sst>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0" totalsRowShown="0">
  <autoFilter ref="A2:BB60" xr:uid="{00000000-0009-0000-0100-000001000000}">
    <filterColumn colId="1">
      <filters>
        <filter val="Educación"/>
      </filters>
    </filterColumn>
    <filterColumn colId="6">
      <filters>
        <filter val="CONTRATADO EN EJECUCIÓN"/>
        <filter val="CONTRATADO SIN ACTA DE INICIO"/>
        <filter val="SIN CONTRATAR"/>
        <filter val="TERMINADO"/>
      </filters>
    </filterColumn>
  </autoFilter>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54" xr3:uid="{5E233D81-7827-4B0C-BCCB-CBA1ADD4E332}" name="FECHA DE SUSPENSIÓN DEL CONTRATO " dataDxfId="2"/>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1"/>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6">
      <filters>
        <filter val="TERMINADO"/>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3" xr3:uid="{01C758B1-CF1C-41E7-A672-7A17A67471E3}" name="ÍNDICE DE EFICIENCIA EN LA TERMINACIÓN" dataDxfId="0"/>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0"/>
  <sheetViews>
    <sheetView tabSelected="1" topLeftCell="AT1" zoomScale="98" zoomScaleNormal="98" workbookViewId="0">
      <selection activeCell="AT1" sqref="AT1:BB1"/>
    </sheetView>
  </sheetViews>
  <sheetFormatPr baseColWidth="10" defaultColWidth="8.88671875" defaultRowHeight="14.4" x14ac:dyDescent="0.3"/>
  <cols>
    <col min="1" max="2" width="25.6640625" customWidth="1"/>
    <col min="3" max="3" width="39.44140625" customWidth="1"/>
    <col min="4" max="5" width="25.6640625" customWidth="1"/>
    <col min="6" max="6" width="42.5546875" customWidth="1"/>
    <col min="7" max="34" width="25.6640625" customWidth="1"/>
    <col min="35" max="35" width="36.33203125" customWidth="1"/>
    <col min="36" max="42" width="25.6640625" customWidth="1"/>
    <col min="43" max="43" width="25.6640625" hidden="1" customWidth="1"/>
    <col min="44" max="48" width="25.6640625" customWidth="1"/>
    <col min="49" max="49" width="25.6640625" hidden="1" customWidth="1"/>
    <col min="50" max="51" width="25.6640625" customWidth="1"/>
    <col min="52" max="52" width="74.44140625" customWidth="1"/>
    <col min="53" max="53" width="33.88671875" customWidth="1"/>
    <col min="54" max="54" width="35.109375" customWidth="1"/>
  </cols>
  <sheetData>
    <row r="1" spans="1:54" ht="40.200000000000003"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8"/>
      <c r="AT1" s="7" t="s">
        <v>2</v>
      </c>
      <c r="AU1" s="7"/>
      <c r="AV1" s="7"/>
      <c r="AW1" s="7"/>
      <c r="AX1" s="7"/>
      <c r="AY1" s="7"/>
      <c r="AZ1" s="7"/>
      <c r="BA1" s="7"/>
      <c r="BB1" s="7"/>
    </row>
    <row r="2" spans="1:54" ht="70.2"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1013</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1008</v>
      </c>
      <c r="AZ2" s="1" t="s">
        <v>52</v>
      </c>
      <c r="BA2" s="3" t="s">
        <v>53</v>
      </c>
      <c r="BB2" s="3" t="s">
        <v>54</v>
      </c>
    </row>
    <row r="3" spans="1:54" ht="96" hidden="1"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c r="AF3" s="6">
        <v>45260</v>
      </c>
      <c r="AG3" s="6"/>
      <c r="AH3" s="6">
        <v>46157</v>
      </c>
      <c r="AI3" s="4" t="s">
        <v>65</v>
      </c>
      <c r="AJ3" s="4" t="s">
        <v>66</v>
      </c>
      <c r="AK3" s="6">
        <v>46157</v>
      </c>
      <c r="AL3" s="4"/>
      <c r="AM3" s="4"/>
      <c r="AN3" s="4"/>
      <c r="AO3" s="4" t="str">
        <f t="shared" ref="AO3:AO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P3" s="4" t="str">
        <f t="shared" ref="AP3:AP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Q3" s="4">
        <f t="shared" ref="AQ3:AQ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R3" s="4" t="str">
        <f t="shared" ref="AR3:AR34" si="3">IF(AND($U3&gt;$V3,$G3="CONTRATADO EN EJECUCIÓN"),100,IF(AND($V3&gt;$U3,($V3-$U3)&gt;50,$G3="CONTRATADO EN EJECUCIÓN"),0,IF(AND($V3&gt;$U3,($V3-$U3)&lt;=50,$V3&lt;=60),100,IF(AND($V3&gt;$U3,($V3-$U3)&lt;=50,$V3&gt;60),$AQ3,""))))</f>
        <v/>
      </c>
      <c r="AS3" s="4">
        <v>0</v>
      </c>
      <c r="AT3" s="5"/>
      <c r="AU3" s="4"/>
      <c r="AV3" s="5"/>
      <c r="AW3" s="4">
        <f t="shared" ref="AW3:AW34" si="4">IF($AS3=0,100,IF($AS3=1,90,IF($AS3=2,75,IF($AS3=3,60,IF($AS3=4,50,IF($AS3=5,25,IF($AS3&gt;=6,0,"")))))))</f>
        <v>100</v>
      </c>
      <c r="AX3" s="4" t="str">
        <f t="shared" ref="AX3:AX34" si="5">IFERROR(IF($G3="CONTRATADO EN EJECUCIÓN",IF(AND(ISNUMBER($AD3),ISNUMBER($AH3),$AD3&lt;$AH3),0,IF($AS3&gt;=1,(IFERROR(IF(ISTEXT($AI3),($AO3*0.4+$AP3*0.2+$AR3*0.4),""),""))*$AW3/100,IFERROR(IF(ISTEXT($AI3),($AO3*0.4+$AP3*0.2+$AR3*0.4),""),""))),IF($G3="CONTRATADO SIN ACTA DE INICIO",IF(AND($AH3-$AB3&gt;=0,$AH3-$AB3&lt;=30),100,0),"")),"Revisar")</f>
        <v/>
      </c>
      <c r="AY3" s="4"/>
      <c r="AZ3" s="4" t="s">
        <v>67</v>
      </c>
      <c r="BA3" s="4" t="s">
        <v>68</v>
      </c>
      <c r="BB3" s="4" t="s">
        <v>69</v>
      </c>
    </row>
    <row r="4" spans="1:54" ht="70.2" hidden="1"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c r="AH4" s="6">
        <v>46157</v>
      </c>
      <c r="AI4" s="4"/>
      <c r="AJ4" s="4"/>
      <c r="AK4" s="6"/>
      <c r="AL4" s="4"/>
      <c r="AM4" s="4"/>
      <c r="AN4" s="4"/>
      <c r="AO4" s="4" t="str">
        <f t="shared" si="0"/>
        <v/>
      </c>
      <c r="AP4" s="4" t="str">
        <f t="shared" si="1"/>
        <v/>
      </c>
      <c r="AQ4" s="4">
        <f t="shared" si="2"/>
        <v>100</v>
      </c>
      <c r="AR4" s="4">
        <f t="shared" si="3"/>
        <v>100</v>
      </c>
      <c r="AS4" s="4">
        <v>0</v>
      </c>
      <c r="AT4" s="5"/>
      <c r="AU4" s="4" t="str">
        <f t="shared" ref="AU4:AU34" si="6">IF(ISNUMBER($AK4),IF(DAY($AK4)=10,100,IF(DAY($AK4)=11,80,IF(DAY($AK4)=12,50,0))),"")</f>
        <v/>
      </c>
      <c r="AV4" s="5"/>
      <c r="AW4" s="4">
        <f t="shared" si="4"/>
        <v>100</v>
      </c>
      <c r="AX4" s="4" t="str">
        <f t="shared" si="5"/>
        <v/>
      </c>
      <c r="AY4" s="4"/>
      <c r="AZ4" s="4" t="s">
        <v>78</v>
      </c>
      <c r="BA4" s="4" t="s">
        <v>79</v>
      </c>
      <c r="BB4" s="4" t="s">
        <v>69</v>
      </c>
    </row>
    <row r="5" spans="1:54" ht="70.2" hidden="1"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c r="AF5" s="6">
        <v>45689</v>
      </c>
      <c r="AG5" s="6"/>
      <c r="AH5" s="6">
        <v>46157</v>
      </c>
      <c r="AI5" s="4" t="s">
        <v>85</v>
      </c>
      <c r="AJ5" s="4" t="s">
        <v>86</v>
      </c>
      <c r="AK5" s="6">
        <v>46157</v>
      </c>
      <c r="AL5" s="4"/>
      <c r="AM5" s="4"/>
      <c r="AN5" s="4"/>
      <c r="AO5" s="4" t="str">
        <f t="shared" si="0"/>
        <v/>
      </c>
      <c r="AP5" s="4" t="str">
        <f t="shared" si="1"/>
        <v/>
      </c>
      <c r="AQ5" s="4">
        <f t="shared" si="2"/>
        <v>100</v>
      </c>
      <c r="AR5" s="4" t="str">
        <f t="shared" si="3"/>
        <v/>
      </c>
      <c r="AS5" s="4">
        <v>0</v>
      </c>
      <c r="AT5" s="5"/>
      <c r="AU5" s="4">
        <v>100</v>
      </c>
      <c r="AV5" s="5">
        <v>0</v>
      </c>
      <c r="AW5" s="4">
        <f t="shared" si="4"/>
        <v>100</v>
      </c>
      <c r="AX5" s="4" t="str">
        <f t="shared" si="5"/>
        <v/>
      </c>
      <c r="AY5" s="4">
        <v>0</v>
      </c>
      <c r="AZ5" s="4" t="s">
        <v>87</v>
      </c>
      <c r="BA5" s="4" t="s">
        <v>79</v>
      </c>
      <c r="BB5" s="4" t="s">
        <v>69</v>
      </c>
    </row>
    <row r="6" spans="1:54" ht="70.2"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c r="AH6" s="6">
        <v>46157</v>
      </c>
      <c r="AI6" s="4" t="s">
        <v>95</v>
      </c>
      <c r="AJ6" s="4" t="s">
        <v>66</v>
      </c>
      <c r="AK6" s="6">
        <v>46157</v>
      </c>
      <c r="AL6" s="4"/>
      <c r="AM6" s="4"/>
      <c r="AN6" s="4"/>
      <c r="AO6" s="4">
        <f t="shared" si="0"/>
        <v>0</v>
      </c>
      <c r="AP6" s="4">
        <f t="shared" si="1"/>
        <v>0</v>
      </c>
      <c r="AQ6" s="4">
        <f t="shared" si="2"/>
        <v>100</v>
      </c>
      <c r="AR6" s="4">
        <f t="shared" si="3"/>
        <v>100</v>
      </c>
      <c r="AS6" s="4">
        <v>0</v>
      </c>
      <c r="AT6" s="5"/>
      <c r="AU6" s="4">
        <v>100</v>
      </c>
      <c r="AV6" s="5">
        <v>0</v>
      </c>
      <c r="AW6" s="4">
        <f t="shared" si="4"/>
        <v>100</v>
      </c>
      <c r="AX6" s="4">
        <f t="shared" si="5"/>
        <v>0</v>
      </c>
      <c r="AY6" s="4"/>
      <c r="AZ6" s="4" t="s">
        <v>96</v>
      </c>
      <c r="BA6" s="4" t="s">
        <v>79</v>
      </c>
      <c r="BB6" s="4" t="s">
        <v>97</v>
      </c>
    </row>
    <row r="7" spans="1:54" ht="70.2" hidden="1"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c r="AF7" s="6">
        <v>45527</v>
      </c>
      <c r="AG7" s="6"/>
      <c r="AH7" s="6">
        <v>46157</v>
      </c>
      <c r="AI7" s="4" t="s">
        <v>106</v>
      </c>
      <c r="AJ7" s="4" t="s">
        <v>107</v>
      </c>
      <c r="AK7" s="6">
        <v>46152</v>
      </c>
      <c r="AL7" s="4"/>
      <c r="AM7" s="4"/>
      <c r="AN7" s="4"/>
      <c r="AO7" s="4" t="str">
        <f t="shared" si="0"/>
        <v/>
      </c>
      <c r="AP7" s="4" t="str">
        <f t="shared" si="1"/>
        <v/>
      </c>
      <c r="AQ7" s="4">
        <f t="shared" si="2"/>
        <v>100</v>
      </c>
      <c r="AR7" s="4" t="str">
        <f t="shared" si="3"/>
        <v/>
      </c>
      <c r="AS7" s="4">
        <v>1</v>
      </c>
      <c r="AT7" s="5"/>
      <c r="AU7" s="4">
        <f t="shared" si="6"/>
        <v>100</v>
      </c>
      <c r="AV7" s="5">
        <v>50</v>
      </c>
      <c r="AW7" s="4">
        <f t="shared" si="4"/>
        <v>90</v>
      </c>
      <c r="AX7" s="4" t="str">
        <f t="shared" si="5"/>
        <v/>
      </c>
      <c r="AY7" s="4">
        <v>50</v>
      </c>
      <c r="AZ7" s="4" t="s">
        <v>108</v>
      </c>
      <c r="BA7" s="4" t="s">
        <v>109</v>
      </c>
      <c r="BB7" s="4" t="s">
        <v>110</v>
      </c>
    </row>
    <row r="8" spans="1:54" ht="70.2"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c r="AF8" s="6">
        <v>44926</v>
      </c>
      <c r="AG8" s="6"/>
      <c r="AH8" s="6">
        <v>46157</v>
      </c>
      <c r="AI8" s="4" t="s">
        <v>65</v>
      </c>
      <c r="AJ8" s="4" t="s">
        <v>66</v>
      </c>
      <c r="AK8" s="6">
        <v>46157</v>
      </c>
      <c r="AL8" s="4"/>
      <c r="AM8" s="4"/>
      <c r="AN8" s="4"/>
      <c r="AO8" s="4" t="str">
        <f t="shared" si="0"/>
        <v/>
      </c>
      <c r="AP8" s="4" t="str">
        <f t="shared" si="1"/>
        <v/>
      </c>
      <c r="AQ8" s="4">
        <f t="shared" si="2"/>
        <v>100</v>
      </c>
      <c r="AR8" s="4" t="str">
        <f t="shared" si="3"/>
        <v/>
      </c>
      <c r="AS8" s="4">
        <v>0</v>
      </c>
      <c r="AT8" s="5"/>
      <c r="AU8" s="4">
        <v>100</v>
      </c>
      <c r="AV8" s="5">
        <v>100</v>
      </c>
      <c r="AW8" s="4">
        <f t="shared" si="4"/>
        <v>100</v>
      </c>
      <c r="AX8" s="4" t="str">
        <f t="shared" si="5"/>
        <v/>
      </c>
      <c r="AY8" s="4"/>
      <c r="AZ8" s="4" t="s">
        <v>117</v>
      </c>
      <c r="BA8" s="4" t="s">
        <v>68</v>
      </c>
      <c r="BB8" s="4" t="s">
        <v>97</v>
      </c>
    </row>
    <row r="9" spans="1:54" ht="70.2" hidden="1"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c r="AF9" s="6">
        <v>45467</v>
      </c>
      <c r="AG9" s="6"/>
      <c r="AH9" s="6">
        <v>46157</v>
      </c>
      <c r="AI9" s="4" t="s">
        <v>122</v>
      </c>
      <c r="AJ9" s="4" t="s">
        <v>123</v>
      </c>
      <c r="AK9" s="6">
        <v>46152</v>
      </c>
      <c r="AL9" s="4"/>
      <c r="AM9" s="4"/>
      <c r="AN9" s="4"/>
      <c r="AO9" s="4">
        <f t="shared" si="0"/>
        <v>0</v>
      </c>
      <c r="AP9" s="4">
        <f t="shared" si="1"/>
        <v>0</v>
      </c>
      <c r="AQ9" s="4">
        <f t="shared" si="2"/>
        <v>100</v>
      </c>
      <c r="AR9" s="4">
        <f t="shared" si="3"/>
        <v>100</v>
      </c>
      <c r="AS9" s="4">
        <v>0</v>
      </c>
      <c r="AT9" s="5"/>
      <c r="AU9" s="4">
        <f t="shared" si="6"/>
        <v>100</v>
      </c>
      <c r="AV9" s="5">
        <v>0</v>
      </c>
      <c r="AW9" s="4">
        <f t="shared" si="4"/>
        <v>100</v>
      </c>
      <c r="AX9" s="4">
        <f t="shared" si="5"/>
        <v>0</v>
      </c>
      <c r="AY9" s="4"/>
      <c r="AZ9" s="4" t="s">
        <v>124</v>
      </c>
      <c r="BA9" s="4" t="s">
        <v>79</v>
      </c>
      <c r="BB9" s="4" t="s">
        <v>125</v>
      </c>
    </row>
    <row r="10" spans="1:54" ht="70.2" hidden="1"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c r="AF10" s="6">
        <v>44742</v>
      </c>
      <c r="AG10" s="6"/>
      <c r="AH10" s="6">
        <v>46157</v>
      </c>
      <c r="AI10" s="4" t="s">
        <v>131</v>
      </c>
      <c r="AJ10" s="4" t="s">
        <v>132</v>
      </c>
      <c r="AK10" s="6">
        <v>46157</v>
      </c>
      <c r="AL10" s="4"/>
      <c r="AM10" s="4"/>
      <c r="AN10" s="4"/>
      <c r="AO10" s="4" t="str">
        <f t="shared" si="0"/>
        <v/>
      </c>
      <c r="AP10" s="4" t="str">
        <f t="shared" si="1"/>
        <v/>
      </c>
      <c r="AQ10" s="4">
        <f t="shared" si="2"/>
        <v>100</v>
      </c>
      <c r="AR10" s="4" t="str">
        <f t="shared" si="3"/>
        <v/>
      </c>
      <c r="AS10" s="4">
        <v>0</v>
      </c>
      <c r="AT10" s="5"/>
      <c r="AU10" s="4">
        <v>100</v>
      </c>
      <c r="AV10" s="5">
        <v>0</v>
      </c>
      <c r="AW10" s="4">
        <f t="shared" si="4"/>
        <v>100</v>
      </c>
      <c r="AX10" s="4" t="str">
        <f t="shared" si="5"/>
        <v/>
      </c>
      <c r="AY10" s="4">
        <v>0</v>
      </c>
      <c r="AZ10" s="4" t="s">
        <v>87</v>
      </c>
      <c r="BA10" s="4" t="s">
        <v>133</v>
      </c>
      <c r="BB10" s="4" t="s">
        <v>134</v>
      </c>
    </row>
    <row r="11" spans="1:54" ht="70.2" hidden="1"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c r="AF11" s="6">
        <v>44592</v>
      </c>
      <c r="AG11" s="6"/>
      <c r="AH11" s="6">
        <v>46157</v>
      </c>
      <c r="AI11" s="4" t="s">
        <v>139</v>
      </c>
      <c r="AJ11" s="4" t="s">
        <v>132</v>
      </c>
      <c r="AK11" s="6">
        <v>46157</v>
      </c>
      <c r="AL11" s="4"/>
      <c r="AM11" s="4"/>
      <c r="AN11" s="4"/>
      <c r="AO11" s="4" t="str">
        <f t="shared" si="0"/>
        <v/>
      </c>
      <c r="AP11" s="4" t="str">
        <f t="shared" si="1"/>
        <v/>
      </c>
      <c r="AQ11" s="4">
        <f t="shared" si="2"/>
        <v>100</v>
      </c>
      <c r="AR11" s="4">
        <f t="shared" si="3"/>
        <v>100</v>
      </c>
      <c r="AS11" s="4">
        <v>0</v>
      </c>
      <c r="AT11" s="5"/>
      <c r="AU11" s="4">
        <v>100</v>
      </c>
      <c r="AV11" s="5">
        <v>0</v>
      </c>
      <c r="AW11" s="4">
        <f t="shared" si="4"/>
        <v>100</v>
      </c>
      <c r="AX11" s="4" t="str">
        <f t="shared" si="5"/>
        <v/>
      </c>
      <c r="AY11" s="4">
        <v>0</v>
      </c>
      <c r="AZ11" s="4" t="s">
        <v>87</v>
      </c>
      <c r="BA11" s="4" t="s">
        <v>79</v>
      </c>
      <c r="BB11" s="4" t="s">
        <v>140</v>
      </c>
    </row>
    <row r="12" spans="1:54" ht="70.2" hidden="1"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c r="AF12" s="6">
        <v>45351</v>
      </c>
      <c r="AG12" s="6"/>
      <c r="AH12" s="6">
        <v>46157</v>
      </c>
      <c r="AI12" s="4" t="s">
        <v>146</v>
      </c>
      <c r="AJ12" s="4" t="s">
        <v>147</v>
      </c>
      <c r="AK12" s="6">
        <v>46152</v>
      </c>
      <c r="AL12" s="4"/>
      <c r="AM12" s="4"/>
      <c r="AN12" s="4"/>
      <c r="AO12" s="4" t="str">
        <f t="shared" si="0"/>
        <v/>
      </c>
      <c r="AP12" s="4" t="str">
        <f t="shared" si="1"/>
        <v/>
      </c>
      <c r="AQ12" s="4">
        <f t="shared" si="2"/>
        <v>100</v>
      </c>
      <c r="AR12" s="4" t="str">
        <f t="shared" si="3"/>
        <v/>
      </c>
      <c r="AS12" s="4">
        <v>0</v>
      </c>
      <c r="AT12" s="5"/>
      <c r="AU12" s="4">
        <f t="shared" si="6"/>
        <v>100</v>
      </c>
      <c r="AV12" s="5">
        <v>0</v>
      </c>
      <c r="AW12" s="4">
        <f t="shared" si="4"/>
        <v>100</v>
      </c>
      <c r="AX12" s="4" t="str">
        <f t="shared" si="5"/>
        <v/>
      </c>
      <c r="AY12" s="4"/>
      <c r="AZ12" s="4" t="s">
        <v>148</v>
      </c>
      <c r="BA12" s="4" t="s">
        <v>133</v>
      </c>
      <c r="BB12" s="4" t="s">
        <v>149</v>
      </c>
    </row>
    <row r="13" spans="1:54" ht="70.2" hidden="1"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c r="AH13" s="6">
        <v>46157</v>
      </c>
      <c r="AI13" s="4" t="s">
        <v>157</v>
      </c>
      <c r="AJ13" s="4" t="s">
        <v>158</v>
      </c>
      <c r="AK13" s="6">
        <v>46152</v>
      </c>
      <c r="AL13" s="4"/>
      <c r="AM13" s="4"/>
      <c r="AN13" s="4"/>
      <c r="AO13" s="4">
        <f t="shared" si="0"/>
        <v>0</v>
      </c>
      <c r="AP13" s="4">
        <f t="shared" si="1"/>
        <v>0</v>
      </c>
      <c r="AQ13" s="4">
        <f t="shared" si="2"/>
        <v>0</v>
      </c>
      <c r="AR13" s="4">
        <f t="shared" si="3"/>
        <v>0</v>
      </c>
      <c r="AS13" s="4">
        <v>1</v>
      </c>
      <c r="AT13" s="5"/>
      <c r="AU13" s="4">
        <f t="shared" si="6"/>
        <v>100</v>
      </c>
      <c r="AV13" s="5">
        <v>100</v>
      </c>
      <c r="AW13" s="4">
        <f t="shared" si="4"/>
        <v>90</v>
      </c>
      <c r="AX13" s="4">
        <f t="shared" si="5"/>
        <v>0</v>
      </c>
      <c r="AY13" s="4"/>
      <c r="AZ13" s="4" t="s">
        <v>159</v>
      </c>
      <c r="BA13" s="4" t="s">
        <v>160</v>
      </c>
      <c r="BB13" s="4" t="s">
        <v>97</v>
      </c>
    </row>
    <row r="14" spans="1:54" ht="70.2" hidden="1"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c r="AF14" s="6">
        <v>45577</v>
      </c>
      <c r="AG14" s="6"/>
      <c r="AH14" s="6">
        <v>46157</v>
      </c>
      <c r="AI14" s="4" t="s">
        <v>165</v>
      </c>
      <c r="AJ14" s="4" t="s">
        <v>166</v>
      </c>
      <c r="AK14" s="6">
        <v>46152</v>
      </c>
      <c r="AL14" s="4"/>
      <c r="AM14" s="4"/>
      <c r="AN14" s="4"/>
      <c r="AO14" s="4" t="str">
        <f t="shared" si="0"/>
        <v/>
      </c>
      <c r="AP14" s="4" t="str">
        <f t="shared" si="1"/>
        <v/>
      </c>
      <c r="AQ14" s="4">
        <f t="shared" si="2"/>
        <v>100</v>
      </c>
      <c r="AR14" s="4" t="str">
        <f t="shared" si="3"/>
        <v/>
      </c>
      <c r="AS14" s="4">
        <v>1</v>
      </c>
      <c r="AT14" s="5"/>
      <c r="AU14" s="4">
        <f t="shared" si="6"/>
        <v>100</v>
      </c>
      <c r="AV14" s="5">
        <v>0</v>
      </c>
      <c r="AW14" s="4">
        <f t="shared" si="4"/>
        <v>90</v>
      </c>
      <c r="AX14" s="4" t="str">
        <f t="shared" si="5"/>
        <v/>
      </c>
      <c r="AY14" s="4">
        <v>0</v>
      </c>
      <c r="AZ14" s="4" t="s">
        <v>167</v>
      </c>
      <c r="BA14" s="4" t="s">
        <v>109</v>
      </c>
      <c r="BB14" s="4" t="s">
        <v>168</v>
      </c>
    </row>
    <row r="15" spans="1:54" ht="70.2" hidden="1"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c r="AH15" s="6">
        <v>46157</v>
      </c>
      <c r="AI15" s="4" t="s">
        <v>173</v>
      </c>
      <c r="AJ15" s="4" t="s">
        <v>132</v>
      </c>
      <c r="AK15" s="6">
        <v>46157</v>
      </c>
      <c r="AL15" s="4"/>
      <c r="AM15" s="4"/>
      <c r="AN15" s="4"/>
      <c r="AO15" s="4">
        <f t="shared" si="0"/>
        <v>0</v>
      </c>
      <c r="AP15" s="4">
        <f t="shared" si="1"/>
        <v>0</v>
      </c>
      <c r="AQ15" s="4">
        <f t="shared" si="2"/>
        <v>0</v>
      </c>
      <c r="AR15" s="4">
        <f t="shared" si="3"/>
        <v>0</v>
      </c>
      <c r="AS15" s="4">
        <v>1</v>
      </c>
      <c r="AT15" s="5"/>
      <c r="AU15" s="4">
        <v>100</v>
      </c>
      <c r="AV15" s="5">
        <v>0</v>
      </c>
      <c r="AW15" s="4">
        <f t="shared" si="4"/>
        <v>90</v>
      </c>
      <c r="AX15" s="4">
        <f t="shared" si="5"/>
        <v>0</v>
      </c>
      <c r="AY15" s="4"/>
      <c r="AZ15" s="4" t="s">
        <v>174</v>
      </c>
      <c r="BA15" s="4" t="s">
        <v>79</v>
      </c>
      <c r="BB15" s="4" t="s">
        <v>97</v>
      </c>
    </row>
    <row r="16" spans="1:54" ht="70.2" hidden="1"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c r="AF16" s="6">
        <v>45287</v>
      </c>
      <c r="AG16" s="6"/>
      <c r="AH16" s="6">
        <v>46157</v>
      </c>
      <c r="AI16" s="4" t="s">
        <v>180</v>
      </c>
      <c r="AJ16" s="4" t="s">
        <v>132</v>
      </c>
      <c r="AK16" s="6">
        <v>46157</v>
      </c>
      <c r="AL16" s="4"/>
      <c r="AM16" s="4"/>
      <c r="AN16" s="4"/>
      <c r="AO16" s="4" t="str">
        <f t="shared" si="0"/>
        <v/>
      </c>
      <c r="AP16" s="4" t="str">
        <f t="shared" si="1"/>
        <v/>
      </c>
      <c r="AQ16" s="4">
        <f t="shared" si="2"/>
        <v>100</v>
      </c>
      <c r="AR16" s="4">
        <f t="shared" si="3"/>
        <v>100</v>
      </c>
      <c r="AS16" s="4">
        <v>0</v>
      </c>
      <c r="AT16" s="5"/>
      <c r="AU16" s="4">
        <v>100</v>
      </c>
      <c r="AV16" s="5">
        <v>0</v>
      </c>
      <c r="AW16" s="4">
        <f t="shared" si="4"/>
        <v>100</v>
      </c>
      <c r="AX16" s="4" t="str">
        <f t="shared" si="5"/>
        <v/>
      </c>
      <c r="AY16" s="4">
        <v>0</v>
      </c>
      <c r="AZ16" s="4" t="s">
        <v>87</v>
      </c>
      <c r="BA16" s="4" t="s">
        <v>133</v>
      </c>
      <c r="BB16" s="4" t="s">
        <v>181</v>
      </c>
    </row>
    <row r="17" spans="1:54" ht="70.2" hidden="1"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c r="AH17" s="6">
        <v>46157</v>
      </c>
      <c r="AI17" s="4" t="s">
        <v>187</v>
      </c>
      <c r="AJ17" s="4" t="s">
        <v>188</v>
      </c>
      <c r="AK17" s="6">
        <v>46152</v>
      </c>
      <c r="AL17" s="4"/>
      <c r="AM17" s="4"/>
      <c r="AN17" s="4"/>
      <c r="AO17" s="4">
        <f t="shared" si="0"/>
        <v>100</v>
      </c>
      <c r="AP17" s="4">
        <f t="shared" si="1"/>
        <v>100</v>
      </c>
      <c r="AQ17" s="4">
        <f t="shared" si="2"/>
        <v>100</v>
      </c>
      <c r="AR17" s="4">
        <f t="shared" si="3"/>
        <v>100</v>
      </c>
      <c r="AS17" s="4">
        <v>2</v>
      </c>
      <c r="AT17" s="5"/>
      <c r="AU17" s="4">
        <f t="shared" si="6"/>
        <v>100</v>
      </c>
      <c r="AV17" s="5">
        <v>100</v>
      </c>
      <c r="AW17" s="4">
        <f t="shared" si="4"/>
        <v>75</v>
      </c>
      <c r="AX17" s="4">
        <v>100</v>
      </c>
      <c r="AY17" s="4"/>
      <c r="AZ17" s="4" t="s">
        <v>189</v>
      </c>
      <c r="BA17" s="4" t="s">
        <v>133</v>
      </c>
      <c r="BB17" s="4" t="s">
        <v>190</v>
      </c>
    </row>
    <row r="18" spans="1:54" ht="70.2" hidden="1"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c r="AH18" s="6">
        <v>46157</v>
      </c>
      <c r="AI18" s="4" t="s">
        <v>196</v>
      </c>
      <c r="AJ18" s="4" t="s">
        <v>132</v>
      </c>
      <c r="AK18" s="6">
        <v>46157</v>
      </c>
      <c r="AL18" s="4"/>
      <c r="AM18" s="4"/>
      <c r="AN18" s="4"/>
      <c r="AO18" s="4">
        <f t="shared" si="0"/>
        <v>0</v>
      </c>
      <c r="AP18" s="4">
        <f t="shared" si="1"/>
        <v>0</v>
      </c>
      <c r="AQ18" s="4">
        <f t="shared" si="2"/>
        <v>100</v>
      </c>
      <c r="AR18" s="4">
        <f t="shared" si="3"/>
        <v>100</v>
      </c>
      <c r="AS18" s="4">
        <v>1</v>
      </c>
      <c r="AT18" s="5"/>
      <c r="AU18" s="4">
        <v>100</v>
      </c>
      <c r="AV18" s="5">
        <v>0</v>
      </c>
      <c r="AW18" s="4">
        <f t="shared" si="4"/>
        <v>90</v>
      </c>
      <c r="AX18" s="4">
        <f t="shared" si="5"/>
        <v>0</v>
      </c>
      <c r="AY18" s="4"/>
      <c r="AZ18" s="4" t="s">
        <v>197</v>
      </c>
      <c r="BA18" s="4" t="s">
        <v>79</v>
      </c>
      <c r="BB18" s="4" t="s">
        <v>97</v>
      </c>
    </row>
    <row r="19" spans="1:54" ht="70.2" hidden="1"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c r="AH19" s="6">
        <v>46157</v>
      </c>
      <c r="AI19" s="4" t="s">
        <v>201</v>
      </c>
      <c r="AJ19" s="4" t="s">
        <v>132</v>
      </c>
      <c r="AK19" s="6">
        <v>46157</v>
      </c>
      <c r="AL19" s="4"/>
      <c r="AM19" s="4"/>
      <c r="AN19" s="4"/>
      <c r="AO19" s="4">
        <f t="shared" si="0"/>
        <v>0</v>
      </c>
      <c r="AP19" s="4">
        <f t="shared" si="1"/>
        <v>0</v>
      </c>
      <c r="AQ19" s="4">
        <f t="shared" si="2"/>
        <v>100</v>
      </c>
      <c r="AR19" s="4">
        <f t="shared" si="3"/>
        <v>100</v>
      </c>
      <c r="AS19" s="4">
        <v>1</v>
      </c>
      <c r="AT19" s="5"/>
      <c r="AU19" s="4">
        <v>100</v>
      </c>
      <c r="AV19" s="5">
        <v>0</v>
      </c>
      <c r="AW19" s="4">
        <f t="shared" si="4"/>
        <v>90</v>
      </c>
      <c r="AX19" s="4">
        <f t="shared" si="5"/>
        <v>0</v>
      </c>
      <c r="AY19" s="4"/>
      <c r="AZ19" s="4" t="s">
        <v>202</v>
      </c>
      <c r="BA19" s="4" t="s">
        <v>79</v>
      </c>
      <c r="BB19" s="4" t="s">
        <v>203</v>
      </c>
    </row>
    <row r="20" spans="1:54" ht="70.2" hidden="1"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c r="AF20" s="6">
        <v>45549</v>
      </c>
      <c r="AG20" s="6"/>
      <c r="AH20" s="6">
        <v>46157</v>
      </c>
      <c r="AI20" s="4" t="s">
        <v>208</v>
      </c>
      <c r="AJ20" s="4" t="s">
        <v>132</v>
      </c>
      <c r="AK20" s="6">
        <v>46157</v>
      </c>
      <c r="AL20" s="4"/>
      <c r="AM20" s="4"/>
      <c r="AN20" s="4"/>
      <c r="AO20" s="4" t="str">
        <f t="shared" si="0"/>
        <v/>
      </c>
      <c r="AP20" s="4" t="str">
        <f t="shared" si="1"/>
        <v/>
      </c>
      <c r="AQ20" s="4" t="str">
        <f t="shared" si="2"/>
        <v/>
      </c>
      <c r="AR20" s="4" t="str">
        <f t="shared" si="3"/>
        <v/>
      </c>
      <c r="AS20" s="4">
        <v>1</v>
      </c>
      <c r="AT20" s="5"/>
      <c r="AU20" s="4">
        <v>100</v>
      </c>
      <c r="AV20" s="5">
        <v>0</v>
      </c>
      <c r="AW20" s="4">
        <f t="shared" si="4"/>
        <v>90</v>
      </c>
      <c r="AX20" s="4" t="str">
        <f t="shared" si="5"/>
        <v/>
      </c>
      <c r="AY20" s="4">
        <v>0</v>
      </c>
      <c r="AZ20" s="4" t="s">
        <v>87</v>
      </c>
      <c r="BA20" s="4" t="s">
        <v>79</v>
      </c>
      <c r="BB20" s="4" t="s">
        <v>97</v>
      </c>
    </row>
    <row r="21" spans="1:54" ht="70.2" hidden="1"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c r="AH21" s="6">
        <v>46157</v>
      </c>
      <c r="AI21" s="4" t="s">
        <v>214</v>
      </c>
      <c r="AJ21" s="4" t="s">
        <v>215</v>
      </c>
      <c r="AK21" s="6">
        <v>46152</v>
      </c>
      <c r="AL21" s="4"/>
      <c r="AM21" s="4"/>
      <c r="AN21" s="4"/>
      <c r="AO21" s="4">
        <f t="shared" si="0"/>
        <v>0</v>
      </c>
      <c r="AP21" s="4">
        <f t="shared" si="1"/>
        <v>0</v>
      </c>
      <c r="AQ21" s="4">
        <f t="shared" si="2"/>
        <v>100</v>
      </c>
      <c r="AR21" s="4">
        <f t="shared" si="3"/>
        <v>100</v>
      </c>
      <c r="AS21" s="4">
        <v>1</v>
      </c>
      <c r="AT21" s="5"/>
      <c r="AU21" s="4">
        <f t="shared" si="6"/>
        <v>100</v>
      </c>
      <c r="AV21" s="5">
        <v>10</v>
      </c>
      <c r="AW21" s="4">
        <f t="shared" si="4"/>
        <v>90</v>
      </c>
      <c r="AX21" s="4">
        <f t="shared" si="5"/>
        <v>0</v>
      </c>
      <c r="AY21" s="4"/>
      <c r="AZ21" s="4" t="s">
        <v>216</v>
      </c>
      <c r="BA21" s="4" t="s">
        <v>217</v>
      </c>
      <c r="BB21" s="4" t="s">
        <v>97</v>
      </c>
    </row>
    <row r="22" spans="1:54" ht="70.2" hidden="1"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c r="AH22" s="6">
        <v>46157</v>
      </c>
      <c r="AI22" s="4" t="s">
        <v>223</v>
      </c>
      <c r="AJ22" s="4" t="s">
        <v>224</v>
      </c>
      <c r="AK22" s="6">
        <v>46152</v>
      </c>
      <c r="AL22" s="4"/>
      <c r="AM22" s="4"/>
      <c r="AN22" s="4"/>
      <c r="AO22" s="4">
        <f t="shared" si="0"/>
        <v>100</v>
      </c>
      <c r="AP22" s="4">
        <f t="shared" si="1"/>
        <v>100</v>
      </c>
      <c r="AQ22" s="4">
        <f t="shared" si="2"/>
        <v>100</v>
      </c>
      <c r="AR22" s="4">
        <f t="shared" si="3"/>
        <v>100</v>
      </c>
      <c r="AS22" s="4">
        <v>1</v>
      </c>
      <c r="AT22" s="5"/>
      <c r="AU22" s="4">
        <f t="shared" si="6"/>
        <v>100</v>
      </c>
      <c r="AV22" s="5">
        <v>90</v>
      </c>
      <c r="AW22" s="4">
        <f t="shared" si="4"/>
        <v>90</v>
      </c>
      <c r="AX22" s="4">
        <f t="shared" si="5"/>
        <v>90</v>
      </c>
      <c r="AY22" s="4"/>
      <c r="AZ22" s="4" t="s">
        <v>225</v>
      </c>
      <c r="BA22" s="4" t="s">
        <v>68</v>
      </c>
      <c r="BB22" s="4" t="s">
        <v>69</v>
      </c>
    </row>
    <row r="23" spans="1:54" ht="70.2" hidden="1"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c r="AF23" s="6">
        <v>45407</v>
      </c>
      <c r="AG23" s="6"/>
      <c r="AH23" s="6">
        <v>46157</v>
      </c>
      <c r="AI23" s="4"/>
      <c r="AJ23" s="4"/>
      <c r="AK23" s="6">
        <v>46152</v>
      </c>
      <c r="AL23" s="4"/>
      <c r="AM23" s="4"/>
      <c r="AN23" s="4"/>
      <c r="AO23" s="4" t="str">
        <f t="shared" si="0"/>
        <v/>
      </c>
      <c r="AP23" s="4" t="str">
        <f t="shared" si="1"/>
        <v/>
      </c>
      <c r="AQ23" s="4">
        <f t="shared" si="2"/>
        <v>100</v>
      </c>
      <c r="AR23" s="4" t="str">
        <f t="shared" si="3"/>
        <v/>
      </c>
      <c r="AS23" s="4">
        <v>1</v>
      </c>
      <c r="AT23" s="5"/>
      <c r="AU23" s="4">
        <f t="shared" si="6"/>
        <v>100</v>
      </c>
      <c r="AV23" s="5"/>
      <c r="AW23" s="4">
        <f t="shared" si="4"/>
        <v>90</v>
      </c>
      <c r="AX23" s="4" t="str">
        <f t="shared" si="5"/>
        <v/>
      </c>
      <c r="AY23" s="4"/>
      <c r="AZ23" s="4" t="s">
        <v>231</v>
      </c>
      <c r="BA23" s="4" t="s">
        <v>109</v>
      </c>
      <c r="BB23" s="4" t="s">
        <v>69</v>
      </c>
    </row>
    <row r="24" spans="1:54" ht="70.2" hidden="1"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c r="AF24" s="6">
        <v>44651</v>
      </c>
      <c r="AG24" s="6"/>
      <c r="AH24" s="6">
        <v>46157</v>
      </c>
      <c r="AI24" s="4"/>
      <c r="AJ24" s="4"/>
      <c r="AK24" s="6">
        <v>46152</v>
      </c>
      <c r="AL24" s="4"/>
      <c r="AM24" s="4"/>
      <c r="AN24" s="4"/>
      <c r="AO24" s="4" t="str">
        <f t="shared" si="0"/>
        <v/>
      </c>
      <c r="AP24" s="4" t="str">
        <f t="shared" si="1"/>
        <v/>
      </c>
      <c r="AQ24" s="4">
        <f t="shared" si="2"/>
        <v>100</v>
      </c>
      <c r="AR24" s="4" t="str">
        <f t="shared" si="3"/>
        <v/>
      </c>
      <c r="AS24" s="4">
        <v>0</v>
      </c>
      <c r="AT24" s="5"/>
      <c r="AU24" s="4"/>
      <c r="AV24" s="5"/>
      <c r="AW24" s="4">
        <f t="shared" si="4"/>
        <v>100</v>
      </c>
      <c r="AX24" s="4" t="str">
        <f t="shared" si="5"/>
        <v/>
      </c>
      <c r="AY24" s="4"/>
      <c r="AZ24" s="4" t="s">
        <v>239</v>
      </c>
      <c r="BA24" s="4" t="s">
        <v>79</v>
      </c>
      <c r="BB24" s="4" t="s">
        <v>240</v>
      </c>
    </row>
    <row r="25" spans="1:54" ht="70.2" hidden="1"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c r="AF25" s="6">
        <v>45046</v>
      </c>
      <c r="AG25" s="6"/>
      <c r="AH25" s="6">
        <v>46157</v>
      </c>
      <c r="AI25" s="4"/>
      <c r="AJ25" s="4"/>
      <c r="AK25" s="6"/>
      <c r="AL25" s="4"/>
      <c r="AM25" s="4"/>
      <c r="AN25" s="4"/>
      <c r="AO25" s="4" t="str">
        <f t="shared" si="0"/>
        <v/>
      </c>
      <c r="AP25" s="4" t="str">
        <f t="shared" si="1"/>
        <v/>
      </c>
      <c r="AQ25" s="4">
        <f t="shared" si="2"/>
        <v>100</v>
      </c>
      <c r="AR25" s="4" t="str">
        <f t="shared" si="3"/>
        <v/>
      </c>
      <c r="AS25" s="4">
        <v>0</v>
      </c>
      <c r="AT25" s="5"/>
      <c r="AU25" s="4" t="str">
        <f t="shared" si="6"/>
        <v/>
      </c>
      <c r="AV25" s="5"/>
      <c r="AW25" s="4">
        <f t="shared" si="4"/>
        <v>100</v>
      </c>
      <c r="AX25" s="4" t="str">
        <f t="shared" si="5"/>
        <v/>
      </c>
      <c r="AY25" s="4"/>
      <c r="AZ25" s="4" t="s">
        <v>231</v>
      </c>
      <c r="BA25" s="4" t="s">
        <v>79</v>
      </c>
      <c r="BB25" s="4" t="s">
        <v>69</v>
      </c>
    </row>
    <row r="26" spans="1:54" ht="70.2" hidden="1"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c r="AH26" s="6">
        <v>46157</v>
      </c>
      <c r="AI26" s="4" t="s">
        <v>251</v>
      </c>
      <c r="AJ26" s="4" t="s">
        <v>252</v>
      </c>
      <c r="AK26" s="6">
        <v>46152</v>
      </c>
      <c r="AL26" s="4"/>
      <c r="AM26" s="4"/>
      <c r="AN26" s="4"/>
      <c r="AO26" s="4">
        <f t="shared" si="0"/>
        <v>0</v>
      </c>
      <c r="AP26" s="4">
        <f t="shared" si="1"/>
        <v>0</v>
      </c>
      <c r="AQ26" s="4">
        <f t="shared" si="2"/>
        <v>100</v>
      </c>
      <c r="AR26" s="4">
        <f t="shared" si="3"/>
        <v>100</v>
      </c>
      <c r="AS26" s="4">
        <v>2</v>
      </c>
      <c r="AT26" s="5"/>
      <c r="AU26" s="4">
        <f t="shared" si="6"/>
        <v>100</v>
      </c>
      <c r="AV26" s="5">
        <v>100</v>
      </c>
      <c r="AW26" s="4">
        <f t="shared" si="4"/>
        <v>75</v>
      </c>
      <c r="AX26" s="4">
        <f t="shared" si="5"/>
        <v>30</v>
      </c>
      <c r="AY26" s="4"/>
      <c r="AZ26" s="4" t="s">
        <v>253</v>
      </c>
      <c r="BA26" s="4" t="s">
        <v>133</v>
      </c>
      <c r="BB26" s="4" t="s">
        <v>240</v>
      </c>
    </row>
    <row r="27" spans="1:54" ht="70.2" hidden="1"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c r="AF27" s="6">
        <v>45412</v>
      </c>
      <c r="AG27" s="6"/>
      <c r="AH27" s="6">
        <v>46157</v>
      </c>
      <c r="AI27" s="4" t="s">
        <v>259</v>
      </c>
      <c r="AJ27" s="4" t="s">
        <v>86</v>
      </c>
      <c r="AK27" s="6">
        <v>46157</v>
      </c>
      <c r="AL27" s="4"/>
      <c r="AM27" s="4"/>
      <c r="AN27" s="4"/>
      <c r="AO27" s="4" t="str">
        <f t="shared" si="0"/>
        <v/>
      </c>
      <c r="AP27" s="4" t="str">
        <f t="shared" si="1"/>
        <v/>
      </c>
      <c r="AQ27" s="4">
        <f t="shared" si="2"/>
        <v>100</v>
      </c>
      <c r="AR27" s="4" t="str">
        <f t="shared" si="3"/>
        <v/>
      </c>
      <c r="AS27" s="4">
        <v>1</v>
      </c>
      <c r="AT27" s="5"/>
      <c r="AU27" s="4">
        <v>100</v>
      </c>
      <c r="AV27" s="5">
        <v>0</v>
      </c>
      <c r="AW27" s="4">
        <f t="shared" si="4"/>
        <v>90</v>
      </c>
      <c r="AX27" s="4" t="str">
        <f t="shared" si="5"/>
        <v/>
      </c>
      <c r="AY27" s="4">
        <v>0</v>
      </c>
      <c r="AZ27" s="4" t="s">
        <v>87</v>
      </c>
      <c r="BA27" s="4" t="s">
        <v>68</v>
      </c>
      <c r="BB27" s="4" t="s">
        <v>97</v>
      </c>
    </row>
    <row r="28" spans="1:54" ht="70.2" hidden="1"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c r="AF28" s="6">
        <v>45746</v>
      </c>
      <c r="AG28" s="6"/>
      <c r="AH28" s="6">
        <v>46157</v>
      </c>
      <c r="AI28" s="4" t="s">
        <v>264</v>
      </c>
      <c r="AJ28" s="4" t="s">
        <v>265</v>
      </c>
      <c r="AK28" s="6">
        <v>46152</v>
      </c>
      <c r="AL28" s="4"/>
      <c r="AM28" s="4"/>
      <c r="AN28" s="4"/>
      <c r="AO28" s="4" t="str">
        <f t="shared" si="0"/>
        <v/>
      </c>
      <c r="AP28" s="4" t="str">
        <f t="shared" si="1"/>
        <v/>
      </c>
      <c r="AQ28" s="4">
        <f t="shared" si="2"/>
        <v>100</v>
      </c>
      <c r="AR28" s="4" t="str">
        <f t="shared" si="3"/>
        <v/>
      </c>
      <c r="AS28" s="4">
        <v>1</v>
      </c>
      <c r="AT28" s="5"/>
      <c r="AU28" s="4">
        <f t="shared" si="6"/>
        <v>100</v>
      </c>
      <c r="AV28" s="5"/>
      <c r="AW28" s="4">
        <f t="shared" si="4"/>
        <v>90</v>
      </c>
      <c r="AX28" s="4" t="str">
        <f t="shared" si="5"/>
        <v/>
      </c>
      <c r="AY28" s="4"/>
      <c r="AZ28" s="4" t="s">
        <v>231</v>
      </c>
      <c r="BA28" s="4" t="s">
        <v>109</v>
      </c>
      <c r="BB28" s="4" t="s">
        <v>266</v>
      </c>
    </row>
    <row r="29" spans="1:54" ht="70.2" hidden="1"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c r="AF29" s="6">
        <v>45858</v>
      </c>
      <c r="AG29" s="6"/>
      <c r="AH29" s="6">
        <v>46157</v>
      </c>
      <c r="AI29" s="4" t="s">
        <v>271</v>
      </c>
      <c r="AJ29" s="4" t="s">
        <v>272</v>
      </c>
      <c r="AK29" s="6">
        <v>46152</v>
      </c>
      <c r="AL29" s="4"/>
      <c r="AM29" s="4"/>
      <c r="AN29" s="4"/>
      <c r="AO29" s="4" t="str">
        <f t="shared" si="0"/>
        <v/>
      </c>
      <c r="AP29" s="4" t="str">
        <f t="shared" si="1"/>
        <v/>
      </c>
      <c r="AQ29" s="4">
        <f t="shared" si="2"/>
        <v>100</v>
      </c>
      <c r="AR29" s="4" t="str">
        <f t="shared" si="3"/>
        <v/>
      </c>
      <c r="AS29" s="4">
        <v>2</v>
      </c>
      <c r="AT29" s="5"/>
      <c r="AU29" s="4">
        <f t="shared" si="6"/>
        <v>100</v>
      </c>
      <c r="AV29" s="5">
        <v>0</v>
      </c>
      <c r="AW29" s="4">
        <f t="shared" si="4"/>
        <v>75</v>
      </c>
      <c r="AX29" s="4" t="str">
        <f t="shared" si="5"/>
        <v/>
      </c>
      <c r="AY29" s="4">
        <v>0</v>
      </c>
      <c r="AZ29" s="4" t="s">
        <v>273</v>
      </c>
      <c r="BA29" s="4" t="s">
        <v>133</v>
      </c>
      <c r="BB29" s="4" t="s">
        <v>240</v>
      </c>
    </row>
    <row r="30" spans="1:54" ht="70.2" hidden="1"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c r="AF30" s="6">
        <v>45569</v>
      </c>
      <c r="AG30" s="6"/>
      <c r="AH30" s="6">
        <v>46157</v>
      </c>
      <c r="AI30" s="4" t="s">
        <v>265</v>
      </c>
      <c r="AJ30" s="4"/>
      <c r="AK30" s="6"/>
      <c r="AL30" s="4"/>
      <c r="AM30" s="4"/>
      <c r="AN30" s="4"/>
      <c r="AO30" s="4" t="str">
        <f t="shared" si="0"/>
        <v/>
      </c>
      <c r="AP30" s="4" t="str">
        <f t="shared" si="1"/>
        <v/>
      </c>
      <c r="AQ30" s="4">
        <f t="shared" si="2"/>
        <v>100</v>
      </c>
      <c r="AR30" s="4" t="str">
        <f t="shared" si="3"/>
        <v/>
      </c>
      <c r="AS30" s="4">
        <v>1</v>
      </c>
      <c r="AT30" s="5"/>
      <c r="AU30" s="4" t="str">
        <f t="shared" si="6"/>
        <v/>
      </c>
      <c r="AV30" s="5"/>
      <c r="AW30" s="4">
        <f t="shared" si="4"/>
        <v>90</v>
      </c>
      <c r="AX30" s="4" t="str">
        <f t="shared" si="5"/>
        <v/>
      </c>
      <c r="AY30" s="4"/>
      <c r="AZ30" s="4" t="s">
        <v>231</v>
      </c>
      <c r="BA30" s="4" t="s">
        <v>133</v>
      </c>
      <c r="BB30" s="4" t="s">
        <v>278</v>
      </c>
    </row>
    <row r="31" spans="1:54" ht="70.2" hidden="1"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c r="AF31" s="6">
        <v>45900</v>
      </c>
      <c r="AG31" s="6"/>
      <c r="AH31" s="6">
        <v>46157</v>
      </c>
      <c r="AI31" s="4" t="s">
        <v>264</v>
      </c>
      <c r="AJ31" s="4" t="s">
        <v>284</v>
      </c>
      <c r="AK31" s="6">
        <v>46152</v>
      </c>
      <c r="AL31" s="4"/>
      <c r="AM31" s="4"/>
      <c r="AN31" s="4"/>
      <c r="AO31" s="4" t="str">
        <f t="shared" si="0"/>
        <v/>
      </c>
      <c r="AP31" s="4" t="str">
        <f t="shared" si="1"/>
        <v/>
      </c>
      <c r="AQ31" s="4">
        <f t="shared" si="2"/>
        <v>100</v>
      </c>
      <c r="AR31" s="4" t="str">
        <f t="shared" si="3"/>
        <v/>
      </c>
      <c r="AS31" s="4">
        <v>2</v>
      </c>
      <c r="AT31" s="5"/>
      <c r="AU31" s="4">
        <f t="shared" si="6"/>
        <v>100</v>
      </c>
      <c r="AV31" s="5"/>
      <c r="AW31" s="4">
        <f t="shared" si="4"/>
        <v>75</v>
      </c>
      <c r="AX31" s="4" t="str">
        <f t="shared" si="5"/>
        <v/>
      </c>
      <c r="AY31" s="4"/>
      <c r="AZ31" s="4" t="s">
        <v>231</v>
      </c>
      <c r="BA31" s="4" t="s">
        <v>109</v>
      </c>
      <c r="BB31" s="4" t="s">
        <v>285</v>
      </c>
    </row>
    <row r="32" spans="1:54" ht="70.2" hidden="1"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c r="AH32" s="6">
        <v>46157</v>
      </c>
      <c r="AI32" s="4" t="s">
        <v>291</v>
      </c>
      <c r="AJ32" s="4" t="s">
        <v>292</v>
      </c>
      <c r="AK32" s="6">
        <v>46152</v>
      </c>
      <c r="AL32" s="4"/>
      <c r="AM32" s="4"/>
      <c r="AN32" s="4"/>
      <c r="AO32" s="4">
        <f t="shared" si="0"/>
        <v>100</v>
      </c>
      <c r="AP32" s="4">
        <f t="shared" si="1"/>
        <v>100</v>
      </c>
      <c r="AQ32" s="4">
        <f t="shared" si="2"/>
        <v>100</v>
      </c>
      <c r="AR32" s="4">
        <f t="shared" si="3"/>
        <v>100</v>
      </c>
      <c r="AS32" s="4">
        <v>0</v>
      </c>
      <c r="AT32" s="5"/>
      <c r="AU32" s="4">
        <f t="shared" si="6"/>
        <v>100</v>
      </c>
      <c r="AV32" s="5">
        <v>100</v>
      </c>
      <c r="AW32" s="4">
        <f t="shared" si="4"/>
        <v>100</v>
      </c>
      <c r="AX32" s="4">
        <v>100</v>
      </c>
      <c r="AY32" s="4"/>
      <c r="AZ32" s="4" t="s">
        <v>293</v>
      </c>
      <c r="BA32" s="4" t="s">
        <v>109</v>
      </c>
      <c r="BB32" s="4" t="s">
        <v>69</v>
      </c>
    </row>
    <row r="33" spans="1:54" ht="70.2" hidden="1"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c r="AH33" s="6">
        <v>46157</v>
      </c>
      <c r="AI33" s="4" t="s">
        <v>300</v>
      </c>
      <c r="AJ33" s="4" t="s">
        <v>301</v>
      </c>
      <c r="AK33" s="6">
        <v>46152</v>
      </c>
      <c r="AL33" s="4"/>
      <c r="AM33" s="4"/>
      <c r="AN33" s="4"/>
      <c r="AO33" s="4">
        <f t="shared" si="0"/>
        <v>0</v>
      </c>
      <c r="AP33" s="4">
        <f t="shared" si="1"/>
        <v>0</v>
      </c>
      <c r="AQ33" s="4">
        <f t="shared" si="2"/>
        <v>100</v>
      </c>
      <c r="AR33" s="4">
        <f t="shared" si="3"/>
        <v>100</v>
      </c>
      <c r="AS33" s="4">
        <v>3</v>
      </c>
      <c r="AT33" s="5"/>
      <c r="AU33" s="4">
        <f t="shared" si="6"/>
        <v>100</v>
      </c>
      <c r="AV33" s="5">
        <v>0</v>
      </c>
      <c r="AW33" s="4">
        <f t="shared" si="4"/>
        <v>60</v>
      </c>
      <c r="AX33" s="4">
        <f t="shared" si="5"/>
        <v>0</v>
      </c>
      <c r="AY33" s="4"/>
      <c r="AZ33" s="4" t="s">
        <v>302</v>
      </c>
      <c r="BA33" s="4" t="s">
        <v>133</v>
      </c>
      <c r="BB33" s="4" t="s">
        <v>303</v>
      </c>
    </row>
    <row r="34" spans="1:54" ht="70.2" hidden="1"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c r="AF34" s="6">
        <v>45716</v>
      </c>
      <c r="AG34" s="6"/>
      <c r="AH34" s="6">
        <v>46157</v>
      </c>
      <c r="AI34" s="4" t="s">
        <v>309</v>
      </c>
      <c r="AJ34" s="4" t="s">
        <v>265</v>
      </c>
      <c r="AK34" s="6">
        <v>46152</v>
      </c>
      <c r="AL34" s="4"/>
      <c r="AM34" s="4"/>
      <c r="AN34" s="4"/>
      <c r="AO34" s="4" t="str">
        <f t="shared" si="0"/>
        <v/>
      </c>
      <c r="AP34" s="4" t="str">
        <f t="shared" si="1"/>
        <v/>
      </c>
      <c r="AQ34" s="4">
        <f t="shared" si="2"/>
        <v>100</v>
      </c>
      <c r="AR34" s="4" t="str">
        <f t="shared" si="3"/>
        <v/>
      </c>
      <c r="AS34" s="4">
        <v>1</v>
      </c>
      <c r="AT34" s="5"/>
      <c r="AU34" s="4">
        <f t="shared" si="6"/>
        <v>100</v>
      </c>
      <c r="AV34" s="5"/>
      <c r="AW34" s="4">
        <f t="shared" si="4"/>
        <v>90</v>
      </c>
      <c r="AX34" s="4" t="str">
        <f t="shared" si="5"/>
        <v/>
      </c>
      <c r="AY34" s="4"/>
      <c r="AZ34" s="4" t="s">
        <v>231</v>
      </c>
      <c r="BA34" s="4" t="s">
        <v>109</v>
      </c>
      <c r="BB34" s="4" t="s">
        <v>310</v>
      </c>
    </row>
    <row r="35" spans="1:54" ht="70.2" hidden="1"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c r="AF35" s="6">
        <v>45288</v>
      </c>
      <c r="AG35" s="6"/>
      <c r="AH35" s="6">
        <v>46157</v>
      </c>
      <c r="AI35" s="4"/>
      <c r="AJ35" s="4"/>
      <c r="AK35" s="6"/>
      <c r="AL35" s="4"/>
      <c r="AM35" s="4"/>
      <c r="AN35" s="4"/>
      <c r="AO35" s="4" t="str">
        <f t="shared" ref="AO35:AO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P35" s="4" t="str">
        <f t="shared" ref="AP35:AP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Q35" s="4">
        <f t="shared" ref="AQ35:AQ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R35" s="4" t="str">
        <f t="shared" ref="AR35:AR60" si="10">IF(AND($U35&gt;$V35,$G35="CONTRATADO EN EJECUCIÓN"),100,IF(AND($V35&gt;$U35,($V35-$U35)&gt;50,$G35="CONTRATADO EN EJECUCIÓN"),0,IF(AND($V35&gt;$U35,($V35-$U35)&lt;=50,$V35&lt;=60),100,IF(AND($V35&gt;$U35,($V35-$U35)&lt;=50,$V35&gt;60),$AQ35,""))))</f>
        <v/>
      </c>
      <c r="AS35" s="4">
        <v>0</v>
      </c>
      <c r="AT35" s="5"/>
      <c r="AU35" s="4" t="str">
        <f t="shared" ref="AU35:AU59"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EJECUCIÓN",IF(AND(ISNUMBER($AD35),ISNUMBER($AH35),$AD35&lt;$AH35),0,IF($AS35&gt;=1,(IFERROR(IF(ISTEXT($AI35),($AO35*0.4+$AP35*0.2+$AR35*0.4),""),""))*$AW35/100,IFERROR(IF(ISTEXT($AI35),($AO35*0.4+$AP35*0.2+$AR35*0.4),""),""))),IF($G35="CONTRATADO SIN ACTA DE INICIO",IF(AND($AH35-$AB35&gt;=0,$AH35-$AB35&lt;=30),100,0),"")),"Revisar")</f>
        <v/>
      </c>
      <c r="AY35" s="4"/>
      <c r="AZ35" s="4" t="s">
        <v>231</v>
      </c>
      <c r="BA35" s="4" t="s">
        <v>79</v>
      </c>
      <c r="BB35" s="4" t="s">
        <v>97</v>
      </c>
    </row>
    <row r="36" spans="1:54" ht="70.2" hidden="1"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c r="AH36" s="6">
        <v>46157</v>
      </c>
      <c r="AI36" s="4" t="s">
        <v>320</v>
      </c>
      <c r="AJ36" s="4" t="s">
        <v>321</v>
      </c>
      <c r="AK36" s="6">
        <v>46152</v>
      </c>
      <c r="AL36" s="4"/>
      <c r="AM36" s="4"/>
      <c r="AN36" s="4"/>
      <c r="AO36" s="4">
        <f t="shared" si="7"/>
        <v>71.739130434782609</v>
      </c>
      <c r="AP36" s="4">
        <f t="shared" si="8"/>
        <v>100</v>
      </c>
      <c r="AQ36" s="4">
        <f t="shared" si="9"/>
        <v>100</v>
      </c>
      <c r="AR36" s="4">
        <f t="shared" si="10"/>
        <v>100</v>
      </c>
      <c r="AS36" s="4">
        <v>0</v>
      </c>
      <c r="AT36" s="5"/>
      <c r="AU36" s="4">
        <f t="shared" si="11"/>
        <v>100</v>
      </c>
      <c r="AV36" s="5">
        <v>100</v>
      </c>
      <c r="AW36" s="4">
        <f t="shared" si="12"/>
        <v>100</v>
      </c>
      <c r="AX36" s="4">
        <f t="shared" si="13"/>
        <v>88.695652173913047</v>
      </c>
      <c r="AY36" s="4"/>
      <c r="AZ36" s="4" t="s">
        <v>322</v>
      </c>
      <c r="BA36" s="4" t="s">
        <v>133</v>
      </c>
      <c r="BB36" s="4" t="s">
        <v>323</v>
      </c>
    </row>
    <row r="37" spans="1:54" ht="70.2" hidden="1"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c r="AF37" s="6">
        <v>45968</v>
      </c>
      <c r="AG37" s="6"/>
      <c r="AH37" s="6">
        <v>46157</v>
      </c>
      <c r="AI37" s="4" t="s">
        <v>328</v>
      </c>
      <c r="AJ37" s="4" t="s">
        <v>329</v>
      </c>
      <c r="AK37" s="6">
        <v>46155</v>
      </c>
      <c r="AL37" s="4"/>
      <c r="AM37" s="4"/>
      <c r="AN37" s="4"/>
      <c r="AO37" s="4" t="str">
        <f t="shared" si="7"/>
        <v/>
      </c>
      <c r="AP37" s="4" t="str">
        <f t="shared" si="8"/>
        <v/>
      </c>
      <c r="AQ37" s="4">
        <f t="shared" si="9"/>
        <v>100</v>
      </c>
      <c r="AR37" s="4">
        <f t="shared" si="10"/>
        <v>100</v>
      </c>
      <c r="AS37" s="4">
        <v>1</v>
      </c>
      <c r="AT37" s="5"/>
      <c r="AU37" s="4">
        <v>100</v>
      </c>
      <c r="AV37" s="5">
        <v>100</v>
      </c>
      <c r="AW37" s="4">
        <f t="shared" si="12"/>
        <v>90</v>
      </c>
      <c r="AX37" s="4" t="str">
        <f t="shared" si="13"/>
        <v/>
      </c>
      <c r="AY37" s="4">
        <v>100</v>
      </c>
      <c r="AZ37" s="4" t="s">
        <v>330</v>
      </c>
      <c r="BA37" s="4" t="s">
        <v>79</v>
      </c>
      <c r="BB37" s="4" t="s">
        <v>331</v>
      </c>
    </row>
    <row r="38" spans="1:54" ht="70.2" hidden="1"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c r="AH38" s="6">
        <v>46157</v>
      </c>
      <c r="AI38" s="4" t="s">
        <v>320</v>
      </c>
      <c r="AJ38" s="4" t="s">
        <v>337</v>
      </c>
      <c r="AK38" s="6">
        <v>46152</v>
      </c>
      <c r="AL38" s="4"/>
      <c r="AM38" s="4"/>
      <c r="AN38" s="4"/>
      <c r="AO38" s="4">
        <f t="shared" si="7"/>
        <v>69.565217391304344</v>
      </c>
      <c r="AP38" s="4">
        <f t="shared" si="8"/>
        <v>100</v>
      </c>
      <c r="AQ38" s="4">
        <f t="shared" si="9"/>
        <v>100</v>
      </c>
      <c r="AR38" s="4">
        <f t="shared" si="10"/>
        <v>100</v>
      </c>
      <c r="AS38" s="4">
        <v>1</v>
      </c>
      <c r="AT38" s="5"/>
      <c r="AU38" s="4">
        <f t="shared" si="11"/>
        <v>100</v>
      </c>
      <c r="AV38" s="5">
        <v>100</v>
      </c>
      <c r="AW38" s="4">
        <f t="shared" si="12"/>
        <v>90</v>
      </c>
      <c r="AX38" s="4">
        <f t="shared" si="13"/>
        <v>79.043478260869563</v>
      </c>
      <c r="AY38" s="4"/>
      <c r="AZ38" s="4" t="s">
        <v>338</v>
      </c>
      <c r="BA38" s="4" t="s">
        <v>109</v>
      </c>
      <c r="BB38" s="4" t="s">
        <v>69</v>
      </c>
    </row>
    <row r="39" spans="1:54" ht="70.2"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c r="AF39" s="6">
        <v>45656</v>
      </c>
      <c r="AG39" s="6"/>
      <c r="AH39" s="6">
        <v>46157</v>
      </c>
      <c r="AI39" s="4" t="s">
        <v>344</v>
      </c>
      <c r="AJ39" s="4" t="s">
        <v>66</v>
      </c>
      <c r="AK39" s="6">
        <v>46157</v>
      </c>
      <c r="AL39" s="4"/>
      <c r="AM39" s="4"/>
      <c r="AN39" s="4"/>
      <c r="AO39" s="4" t="str">
        <f t="shared" si="7"/>
        <v/>
      </c>
      <c r="AP39" s="4" t="str">
        <f t="shared" si="8"/>
        <v/>
      </c>
      <c r="AQ39" s="4">
        <f t="shared" si="9"/>
        <v>100</v>
      </c>
      <c r="AR39" s="4" t="str">
        <f t="shared" si="10"/>
        <v/>
      </c>
      <c r="AS39" s="4">
        <v>1</v>
      </c>
      <c r="AT39" s="5"/>
      <c r="AU39" s="4">
        <v>100</v>
      </c>
      <c r="AV39" s="5">
        <v>0</v>
      </c>
      <c r="AW39" s="4">
        <f t="shared" si="12"/>
        <v>90</v>
      </c>
      <c r="AX39" s="4" t="str">
        <f t="shared" si="13"/>
        <v/>
      </c>
      <c r="AY39" s="4">
        <v>0</v>
      </c>
      <c r="AZ39" s="4" t="s">
        <v>345</v>
      </c>
      <c r="BA39" s="4" t="s">
        <v>79</v>
      </c>
      <c r="BB39" s="4" t="s">
        <v>97</v>
      </c>
    </row>
    <row r="40" spans="1:54" ht="70.2" hidden="1"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c r="AH40" s="6">
        <v>46157</v>
      </c>
      <c r="AI40" s="4" t="s">
        <v>350</v>
      </c>
      <c r="AJ40" s="4" t="s">
        <v>351</v>
      </c>
      <c r="AK40" s="6">
        <v>46152</v>
      </c>
      <c r="AL40" s="4"/>
      <c r="AM40" s="4"/>
      <c r="AN40" s="4"/>
      <c r="AO40" s="4">
        <f t="shared" si="7"/>
        <v>67.391304347826079</v>
      </c>
      <c r="AP40" s="4">
        <f t="shared" si="8"/>
        <v>100</v>
      </c>
      <c r="AQ40" s="4">
        <f t="shared" si="9"/>
        <v>100</v>
      </c>
      <c r="AR40" s="4">
        <f t="shared" si="10"/>
        <v>100</v>
      </c>
      <c r="AS40" s="4">
        <v>0</v>
      </c>
      <c r="AT40" s="5"/>
      <c r="AU40" s="4">
        <f t="shared" si="11"/>
        <v>100</v>
      </c>
      <c r="AV40" s="5">
        <v>100</v>
      </c>
      <c r="AW40" s="4">
        <f t="shared" si="12"/>
        <v>100</v>
      </c>
      <c r="AX40" s="4">
        <f t="shared" si="13"/>
        <v>86.956521739130437</v>
      </c>
      <c r="AY40" s="4"/>
      <c r="AZ40" s="4" t="s">
        <v>352</v>
      </c>
      <c r="BA40" s="4" t="s">
        <v>109</v>
      </c>
      <c r="BB40" s="4" t="s">
        <v>353</v>
      </c>
    </row>
    <row r="41" spans="1:54" ht="70.2" hidden="1"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c r="AH41" s="6">
        <v>46157</v>
      </c>
      <c r="AI41" s="4" t="s">
        <v>358</v>
      </c>
      <c r="AJ41" s="4" t="s">
        <v>359</v>
      </c>
      <c r="AK41" s="6">
        <v>46152</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v>80</v>
      </c>
      <c r="AY41" s="4"/>
      <c r="AZ41" s="4" t="s">
        <v>360</v>
      </c>
      <c r="BA41" s="4" t="s">
        <v>133</v>
      </c>
      <c r="BB41" s="4" t="s">
        <v>361</v>
      </c>
    </row>
    <row r="42" spans="1:54" ht="70.2" hidden="1"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c r="AH42" s="6">
        <v>46157</v>
      </c>
      <c r="AI42" s="4" t="s">
        <v>365</v>
      </c>
      <c r="AJ42" s="4" t="s">
        <v>366</v>
      </c>
      <c r="AK42" s="6">
        <v>46152</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4"/>
      <c r="AZ42" s="4" t="s">
        <v>367</v>
      </c>
      <c r="BA42" s="4" t="s">
        <v>68</v>
      </c>
      <c r="BB42" s="4" t="s">
        <v>368</v>
      </c>
    </row>
    <row r="43" spans="1:54" ht="70.2" hidden="1"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c r="AH43" s="6">
        <v>46157</v>
      </c>
      <c r="AI43" s="4" t="s">
        <v>374</v>
      </c>
      <c r="AJ43" s="4" t="s">
        <v>375</v>
      </c>
      <c r="AK43" s="6">
        <v>46152</v>
      </c>
      <c r="AL43" s="4">
        <v>542</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4"/>
      <c r="AZ43" s="4" t="s">
        <v>376</v>
      </c>
      <c r="BA43" s="4" t="s">
        <v>68</v>
      </c>
      <c r="BB43" s="4" t="s">
        <v>97</v>
      </c>
    </row>
    <row r="44" spans="1:54" ht="70.2" hidden="1"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c r="AH44" s="6">
        <v>46157</v>
      </c>
      <c r="AI44" s="4" t="s">
        <v>381</v>
      </c>
      <c r="AJ44" s="4" t="s">
        <v>382</v>
      </c>
      <c r="AK44" s="6">
        <v>46152</v>
      </c>
      <c r="AL44" s="4"/>
      <c r="AM44" s="4"/>
      <c r="AN44" s="4"/>
      <c r="AO44" s="4">
        <f t="shared" si="7"/>
        <v>0</v>
      </c>
      <c r="AP44" s="4">
        <f t="shared" si="8"/>
        <v>0</v>
      </c>
      <c r="AQ44" s="4">
        <f t="shared" si="9"/>
        <v>100</v>
      </c>
      <c r="AR44" s="4">
        <f t="shared" si="10"/>
        <v>100</v>
      </c>
      <c r="AS44" s="4">
        <v>1</v>
      </c>
      <c r="AT44" s="5"/>
      <c r="AU44" s="4">
        <f t="shared" si="11"/>
        <v>100</v>
      </c>
      <c r="AV44" s="5">
        <v>100</v>
      </c>
      <c r="AW44" s="4">
        <f t="shared" si="12"/>
        <v>90</v>
      </c>
      <c r="AX44" s="4">
        <f t="shared" si="13"/>
        <v>0</v>
      </c>
      <c r="AY44" s="4"/>
      <c r="AZ44" s="4" t="s">
        <v>383</v>
      </c>
      <c r="BA44" s="4" t="s">
        <v>109</v>
      </c>
      <c r="BB44" s="4" t="s">
        <v>384</v>
      </c>
    </row>
    <row r="45" spans="1:54" ht="70.2" hidden="1"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c r="AH45" s="6">
        <v>46157</v>
      </c>
      <c r="AI45" s="4" t="s">
        <v>392</v>
      </c>
      <c r="AJ45" s="4" t="s">
        <v>393</v>
      </c>
      <c r="AK45" s="6">
        <v>46152</v>
      </c>
      <c r="AL45" s="4"/>
      <c r="AM45" s="4"/>
      <c r="AN45" s="4"/>
      <c r="AO45" s="4">
        <f t="shared" si="7"/>
        <v>0</v>
      </c>
      <c r="AP45" s="4">
        <f t="shared" si="8"/>
        <v>100</v>
      </c>
      <c r="AQ45" s="4">
        <f t="shared" si="9"/>
        <v>100</v>
      </c>
      <c r="AR45" s="4">
        <f t="shared" si="10"/>
        <v>100</v>
      </c>
      <c r="AS45" s="4">
        <v>0</v>
      </c>
      <c r="AT45" s="5"/>
      <c r="AU45" s="4">
        <f t="shared" si="11"/>
        <v>100</v>
      </c>
      <c r="AV45" s="5">
        <v>100</v>
      </c>
      <c r="AW45" s="4">
        <f t="shared" si="12"/>
        <v>100</v>
      </c>
      <c r="AX45" s="4">
        <f t="shared" si="13"/>
        <v>60</v>
      </c>
      <c r="AY45" s="4"/>
      <c r="AZ45" s="4" t="s">
        <v>394</v>
      </c>
      <c r="BA45" s="4" t="s">
        <v>133</v>
      </c>
      <c r="BB45" s="4" t="s">
        <v>395</v>
      </c>
    </row>
    <row r="46" spans="1:54" ht="70.2" hidden="1"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c r="AH46" s="6">
        <v>46157</v>
      </c>
      <c r="AI46" s="4" t="s">
        <v>403</v>
      </c>
      <c r="AJ46" s="4" t="s">
        <v>404</v>
      </c>
      <c r="AK46" s="6">
        <v>46152</v>
      </c>
      <c r="AL46" s="4"/>
      <c r="AM46" s="4"/>
      <c r="AN46" s="4">
        <v>330</v>
      </c>
      <c r="AO46" s="4" t="str">
        <f t="shared" si="7"/>
        <v/>
      </c>
      <c r="AP46" s="4" t="str">
        <f t="shared" si="8"/>
        <v/>
      </c>
      <c r="AQ46" s="4">
        <f t="shared" si="9"/>
        <v>100</v>
      </c>
      <c r="AR46" s="4" t="str">
        <f t="shared" si="10"/>
        <v/>
      </c>
      <c r="AS46" s="4">
        <v>0</v>
      </c>
      <c r="AT46" s="5"/>
      <c r="AU46" s="4">
        <f t="shared" si="11"/>
        <v>100</v>
      </c>
      <c r="AV46" s="5">
        <v>0</v>
      </c>
      <c r="AW46" s="4">
        <f t="shared" si="12"/>
        <v>100</v>
      </c>
      <c r="AX46" s="4">
        <f t="shared" si="13"/>
        <v>0</v>
      </c>
      <c r="AY46" s="4"/>
      <c r="AZ46" s="4" t="s">
        <v>405</v>
      </c>
      <c r="BA46" s="4" t="s">
        <v>133</v>
      </c>
      <c r="BB46" s="4" t="s">
        <v>69</v>
      </c>
    </row>
    <row r="47" spans="1:54" ht="70.2" hidden="1"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c r="AH47" s="6">
        <v>46157</v>
      </c>
      <c r="AI47" s="4" t="s">
        <v>410</v>
      </c>
      <c r="AJ47" s="4" t="s">
        <v>411</v>
      </c>
      <c r="AK47" s="6">
        <v>46152</v>
      </c>
      <c r="AL47" s="4"/>
      <c r="AM47" s="4"/>
      <c r="AN47" s="4"/>
      <c r="AO47" s="4">
        <f t="shared" si="7"/>
        <v>95.65217391304347</v>
      </c>
      <c r="AP47" s="4">
        <f t="shared" si="8"/>
        <v>100</v>
      </c>
      <c r="AQ47" s="4">
        <f t="shared" si="9"/>
        <v>100</v>
      </c>
      <c r="AR47" s="4">
        <f t="shared" si="10"/>
        <v>100</v>
      </c>
      <c r="AS47" s="4">
        <v>1</v>
      </c>
      <c r="AT47" s="5"/>
      <c r="AU47" s="4">
        <f t="shared" si="11"/>
        <v>100</v>
      </c>
      <c r="AV47" s="5">
        <v>100</v>
      </c>
      <c r="AW47" s="4">
        <f t="shared" si="12"/>
        <v>90</v>
      </c>
      <c r="AX47" s="4">
        <v>88.43</v>
      </c>
      <c r="AY47" s="4"/>
      <c r="AZ47" s="4" t="s">
        <v>412</v>
      </c>
      <c r="BA47" s="4" t="s">
        <v>133</v>
      </c>
      <c r="BB47" s="4" t="s">
        <v>97</v>
      </c>
    </row>
    <row r="48" spans="1:54" ht="70.2" hidden="1" customHeight="1" x14ac:dyDescent="0.3">
      <c r="A48" s="4" t="s">
        <v>413</v>
      </c>
      <c r="B48" s="4" t="s">
        <v>295</v>
      </c>
      <c r="C48" s="4" t="s">
        <v>414</v>
      </c>
      <c r="D48" s="4" t="s">
        <v>1009</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c r="AH48" s="6">
        <v>46157</v>
      </c>
      <c r="AI48" s="4"/>
      <c r="AJ48" s="4"/>
      <c r="AK48" s="6"/>
      <c r="AL48" s="4">
        <v>36</v>
      </c>
      <c r="AM48" s="4"/>
      <c r="AN48" s="4"/>
      <c r="AO48" s="4" t="str">
        <f t="shared" si="7"/>
        <v/>
      </c>
      <c r="AP48" s="4" t="str">
        <f t="shared" si="8"/>
        <v/>
      </c>
      <c r="AQ48" s="4">
        <f t="shared" si="9"/>
        <v>100</v>
      </c>
      <c r="AR48" s="4" t="str">
        <f t="shared" si="10"/>
        <v/>
      </c>
      <c r="AS48" s="4"/>
      <c r="AT48" s="5">
        <v>100</v>
      </c>
      <c r="AU48" s="4">
        <v>100</v>
      </c>
      <c r="AV48" s="5">
        <v>100</v>
      </c>
      <c r="AW48" s="4">
        <f t="shared" si="12"/>
        <v>100</v>
      </c>
      <c r="AX48" s="4" t="str">
        <f t="shared" si="13"/>
        <v/>
      </c>
      <c r="AY48" s="4"/>
      <c r="AZ48" s="4" t="s">
        <v>417</v>
      </c>
      <c r="BA48" s="4" t="s">
        <v>68</v>
      </c>
      <c r="BB48" s="4" t="s">
        <v>285</v>
      </c>
    </row>
    <row r="49" spans="1:54" ht="70.2" hidden="1"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c r="AH49" s="6">
        <v>46157</v>
      </c>
      <c r="AI49" s="4" t="s">
        <v>422</v>
      </c>
      <c r="AJ49" s="4" t="s">
        <v>423</v>
      </c>
      <c r="AK49" s="6">
        <v>46152</v>
      </c>
      <c r="AL49" s="4">
        <v>64</v>
      </c>
      <c r="AM49" s="4"/>
      <c r="AN49" s="4"/>
      <c r="AO49" s="4" t="str">
        <f t="shared" si="7"/>
        <v/>
      </c>
      <c r="AP49" s="4" t="str">
        <f t="shared" si="8"/>
        <v/>
      </c>
      <c r="AQ49" s="4">
        <f t="shared" si="9"/>
        <v>100</v>
      </c>
      <c r="AR49" s="4" t="str">
        <f t="shared" si="10"/>
        <v/>
      </c>
      <c r="AS49" s="4"/>
      <c r="AT49" s="5">
        <v>100</v>
      </c>
      <c r="AU49" s="4">
        <f t="shared" si="11"/>
        <v>100</v>
      </c>
      <c r="AV49" s="5">
        <v>100</v>
      </c>
      <c r="AW49" s="4">
        <f t="shared" si="12"/>
        <v>100</v>
      </c>
      <c r="AX49" s="4" t="str">
        <f t="shared" si="13"/>
        <v/>
      </c>
      <c r="AY49" s="4"/>
      <c r="AZ49" s="4" t="s">
        <v>424</v>
      </c>
      <c r="BA49" s="4" t="s">
        <v>79</v>
      </c>
      <c r="BB49" s="4" t="s">
        <v>425</v>
      </c>
    </row>
    <row r="50" spans="1:54" ht="70.2"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c r="AF50" s="6">
        <v>46021</v>
      </c>
      <c r="AG50" s="6"/>
      <c r="AH50" s="6">
        <v>46157</v>
      </c>
      <c r="AI50" s="4" t="s">
        <v>431</v>
      </c>
      <c r="AJ50" s="4" t="s">
        <v>66</v>
      </c>
      <c r="AK50" s="6">
        <v>46157</v>
      </c>
      <c r="AL50" s="4"/>
      <c r="AM50" s="4"/>
      <c r="AN50" s="4"/>
      <c r="AO50" s="4" t="str">
        <f t="shared" si="7"/>
        <v/>
      </c>
      <c r="AP50" s="4" t="str">
        <f t="shared" si="8"/>
        <v/>
      </c>
      <c r="AQ50" s="4">
        <f t="shared" si="9"/>
        <v>100</v>
      </c>
      <c r="AR50" s="4">
        <f t="shared" si="10"/>
        <v>100</v>
      </c>
      <c r="AS50" s="4">
        <v>0</v>
      </c>
      <c r="AT50" s="5"/>
      <c r="AU50" s="4">
        <v>100</v>
      </c>
      <c r="AV50" s="5">
        <v>0</v>
      </c>
      <c r="AW50" s="4">
        <f t="shared" si="12"/>
        <v>100</v>
      </c>
      <c r="AX50" s="4" t="str">
        <f t="shared" si="13"/>
        <v/>
      </c>
      <c r="AY50" s="4">
        <v>100</v>
      </c>
      <c r="AZ50" s="4" t="s">
        <v>432</v>
      </c>
      <c r="BA50" s="4" t="s">
        <v>79</v>
      </c>
      <c r="BB50" s="4" t="s">
        <v>97</v>
      </c>
    </row>
    <row r="51" spans="1:54" ht="70.2" hidden="1"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c r="AH51" s="6">
        <v>46157</v>
      </c>
      <c r="AI51" s="4" t="s">
        <v>437</v>
      </c>
      <c r="AJ51" s="4" t="s">
        <v>438</v>
      </c>
      <c r="AK51" s="6">
        <v>46152</v>
      </c>
      <c r="AL51" s="4"/>
      <c r="AM51" s="4"/>
      <c r="AN51" s="4"/>
      <c r="AO51" s="4">
        <f t="shared" si="7"/>
        <v>0</v>
      </c>
      <c r="AP51" s="4">
        <f t="shared" si="8"/>
        <v>100</v>
      </c>
      <c r="AQ51" s="4">
        <f t="shared" si="9"/>
        <v>100</v>
      </c>
      <c r="AR51" s="4">
        <f t="shared" si="10"/>
        <v>100</v>
      </c>
      <c r="AS51" s="4">
        <v>0</v>
      </c>
      <c r="AT51" s="5"/>
      <c r="AU51" s="4">
        <f t="shared" si="11"/>
        <v>100</v>
      </c>
      <c r="AV51" s="5">
        <v>100</v>
      </c>
      <c r="AW51" s="4">
        <f t="shared" si="12"/>
        <v>100</v>
      </c>
      <c r="AX51" s="4">
        <f t="shared" si="13"/>
        <v>60</v>
      </c>
      <c r="AY51" s="4"/>
      <c r="AZ51" s="4" t="s">
        <v>439</v>
      </c>
      <c r="BA51" s="4" t="s">
        <v>440</v>
      </c>
      <c r="BB51" s="4" t="s">
        <v>441</v>
      </c>
    </row>
    <row r="52" spans="1:54" ht="70.2" hidden="1"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c r="AH52" s="6">
        <v>46157</v>
      </c>
      <c r="AI52" s="4" t="s">
        <v>445</v>
      </c>
      <c r="AJ52" s="4" t="s">
        <v>393</v>
      </c>
      <c r="AK52" s="6">
        <v>46152</v>
      </c>
      <c r="AL52" s="4"/>
      <c r="AM52" s="4"/>
      <c r="AN52" s="4"/>
      <c r="AO52" s="4">
        <f t="shared" si="7"/>
        <v>100</v>
      </c>
      <c r="AP52" s="4">
        <f t="shared" si="8"/>
        <v>100</v>
      </c>
      <c r="AQ52" s="4">
        <f t="shared" si="9"/>
        <v>100</v>
      </c>
      <c r="AR52" s="4">
        <f t="shared" si="10"/>
        <v>100</v>
      </c>
      <c r="AS52" s="4">
        <v>0</v>
      </c>
      <c r="AT52" s="5"/>
      <c r="AU52" s="4">
        <f t="shared" si="11"/>
        <v>100</v>
      </c>
      <c r="AV52" s="5">
        <v>100</v>
      </c>
      <c r="AW52" s="4">
        <f t="shared" si="12"/>
        <v>100</v>
      </c>
      <c r="AX52" s="4">
        <f t="shared" si="13"/>
        <v>100</v>
      </c>
      <c r="AY52" s="4"/>
      <c r="AZ52" s="4" t="s">
        <v>439</v>
      </c>
      <c r="BA52" s="4" t="s">
        <v>440</v>
      </c>
      <c r="BB52" s="4" t="s">
        <v>97</v>
      </c>
    </row>
    <row r="53" spans="1:54" ht="70.2" hidden="1"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c r="AH53" s="6">
        <v>46163</v>
      </c>
      <c r="AI53" s="4" t="s">
        <v>450</v>
      </c>
      <c r="AJ53" s="4" t="s">
        <v>451</v>
      </c>
      <c r="AK53" s="6">
        <v>46152</v>
      </c>
      <c r="AL53" s="4"/>
      <c r="AM53" s="4"/>
      <c r="AN53" s="4">
        <v>0</v>
      </c>
      <c r="AO53" s="4" t="str">
        <f t="shared" si="7"/>
        <v/>
      </c>
      <c r="AP53" s="4" t="str">
        <f t="shared" si="8"/>
        <v/>
      </c>
      <c r="AQ53" s="4">
        <f t="shared" si="9"/>
        <v>100</v>
      </c>
      <c r="AR53" s="4" t="str">
        <f t="shared" si="10"/>
        <v/>
      </c>
      <c r="AS53" s="4">
        <v>0</v>
      </c>
      <c r="AT53" s="5"/>
      <c r="AU53" s="4">
        <f t="shared" si="11"/>
        <v>100</v>
      </c>
      <c r="AV53" s="5">
        <v>100</v>
      </c>
      <c r="AW53" s="4">
        <f t="shared" si="12"/>
        <v>100</v>
      </c>
      <c r="AX53" s="4">
        <f t="shared" si="13"/>
        <v>100</v>
      </c>
      <c r="AY53" s="4"/>
      <c r="AZ53" s="4" t="s">
        <v>452</v>
      </c>
      <c r="BA53" s="4" t="s">
        <v>440</v>
      </c>
      <c r="BB53" s="4" t="s">
        <v>285</v>
      </c>
    </row>
    <row r="54" spans="1:54" ht="70.2" hidden="1"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c r="AH54" s="6">
        <v>46157</v>
      </c>
      <c r="AI54" s="4" t="s">
        <v>457</v>
      </c>
      <c r="AJ54" s="4" t="s">
        <v>458</v>
      </c>
      <c r="AK54" s="6">
        <v>46152</v>
      </c>
      <c r="AL54" s="4">
        <v>77</v>
      </c>
      <c r="AM54" s="4"/>
      <c r="AN54" s="4"/>
      <c r="AO54" s="4" t="str">
        <f t="shared" si="7"/>
        <v/>
      </c>
      <c r="AP54" s="4" t="str">
        <f t="shared" si="8"/>
        <v/>
      </c>
      <c r="AQ54" s="4">
        <f t="shared" si="9"/>
        <v>100</v>
      </c>
      <c r="AR54" s="4" t="str">
        <f t="shared" si="10"/>
        <v/>
      </c>
      <c r="AS54" s="4">
        <v>0</v>
      </c>
      <c r="AT54" s="5">
        <v>100</v>
      </c>
      <c r="AU54" s="4">
        <f t="shared" si="11"/>
        <v>100</v>
      </c>
      <c r="AV54" s="5">
        <v>100</v>
      </c>
      <c r="AW54" s="4">
        <f t="shared" si="12"/>
        <v>100</v>
      </c>
      <c r="AX54" s="4" t="str">
        <f t="shared" si="13"/>
        <v/>
      </c>
      <c r="AY54" s="4"/>
      <c r="AZ54" s="4" t="s">
        <v>459</v>
      </c>
      <c r="BA54" s="4" t="s">
        <v>79</v>
      </c>
      <c r="BB54" s="4" t="s">
        <v>460</v>
      </c>
    </row>
    <row r="55" spans="1:54" ht="70.2" hidden="1"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c r="AH55" s="6">
        <v>46157</v>
      </c>
      <c r="AI55" s="4" t="s">
        <v>465</v>
      </c>
      <c r="AJ55" s="4" t="s">
        <v>466</v>
      </c>
      <c r="AK55" s="6">
        <v>46152</v>
      </c>
      <c r="AL55" s="4"/>
      <c r="AM55" s="4"/>
      <c r="AN55" s="4"/>
      <c r="AO55" s="4">
        <f t="shared" si="7"/>
        <v>100</v>
      </c>
      <c r="AP55" s="4">
        <f t="shared" si="8"/>
        <v>100</v>
      </c>
      <c r="AQ55" s="4">
        <f t="shared" si="9"/>
        <v>100</v>
      </c>
      <c r="AR55" s="4">
        <f t="shared" si="10"/>
        <v>100</v>
      </c>
      <c r="AS55" s="4">
        <v>0</v>
      </c>
      <c r="AT55" s="5"/>
      <c r="AU55" s="4">
        <f t="shared" si="11"/>
        <v>100</v>
      </c>
      <c r="AV55" s="5">
        <v>100</v>
      </c>
      <c r="AW55" s="4">
        <f t="shared" si="12"/>
        <v>100</v>
      </c>
      <c r="AX55" s="4">
        <f t="shared" si="13"/>
        <v>100</v>
      </c>
      <c r="AY55" s="4"/>
      <c r="AZ55" s="4" t="s">
        <v>467</v>
      </c>
      <c r="BA55" s="4" t="s">
        <v>440</v>
      </c>
      <c r="BB55" s="4" t="s">
        <v>468</v>
      </c>
    </row>
    <row r="56" spans="1:54" ht="70.2" hidden="1"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c r="AH56" s="6">
        <v>46157</v>
      </c>
      <c r="AI56" s="4" t="s">
        <v>474</v>
      </c>
      <c r="AJ56" s="4" t="s">
        <v>475</v>
      </c>
      <c r="AK56" s="6">
        <v>46152</v>
      </c>
      <c r="AL56" s="4"/>
      <c r="AM56" s="4"/>
      <c r="AN56" s="4">
        <v>100</v>
      </c>
      <c r="AO56" s="4" t="str">
        <f t="shared" si="7"/>
        <v/>
      </c>
      <c r="AP56" s="4" t="str">
        <f t="shared" si="8"/>
        <v/>
      </c>
      <c r="AQ56" s="4">
        <f t="shared" si="9"/>
        <v>100</v>
      </c>
      <c r="AR56" s="4" t="str">
        <f t="shared" si="10"/>
        <v/>
      </c>
      <c r="AS56" s="4">
        <v>0</v>
      </c>
      <c r="AT56" s="5">
        <v>0</v>
      </c>
      <c r="AU56" s="4">
        <f t="shared" si="11"/>
        <v>100</v>
      </c>
      <c r="AV56" s="5">
        <v>0</v>
      </c>
      <c r="AW56" s="4">
        <f t="shared" si="12"/>
        <v>100</v>
      </c>
      <c r="AX56" s="4">
        <f t="shared" si="13"/>
        <v>0</v>
      </c>
      <c r="AY56" s="4"/>
      <c r="AZ56" s="4" t="s">
        <v>476</v>
      </c>
      <c r="BA56" s="4" t="s">
        <v>440</v>
      </c>
      <c r="BB56" s="4" t="s">
        <v>477</v>
      </c>
    </row>
    <row r="57" spans="1:54" ht="70.2" hidden="1"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c r="AH57" s="6">
        <v>46157</v>
      </c>
      <c r="AI57" s="4" t="s">
        <v>483</v>
      </c>
      <c r="AJ57" s="4" t="s">
        <v>484</v>
      </c>
      <c r="AK57" s="6">
        <v>46152</v>
      </c>
      <c r="AL57" s="4">
        <v>177</v>
      </c>
      <c r="AM57" s="4"/>
      <c r="AN57" s="4"/>
      <c r="AO57" s="4" t="str">
        <f t="shared" si="7"/>
        <v/>
      </c>
      <c r="AP57" s="4" t="str">
        <f t="shared" si="8"/>
        <v/>
      </c>
      <c r="AQ57" s="4">
        <f t="shared" si="9"/>
        <v>100</v>
      </c>
      <c r="AR57" s="4" t="str">
        <f t="shared" si="10"/>
        <v/>
      </c>
      <c r="AS57" s="4">
        <v>0</v>
      </c>
      <c r="AT57" s="5">
        <v>100</v>
      </c>
      <c r="AU57" s="4">
        <f t="shared" si="11"/>
        <v>100</v>
      </c>
      <c r="AV57" s="5">
        <v>100</v>
      </c>
      <c r="AW57" s="4">
        <f t="shared" si="12"/>
        <v>100</v>
      </c>
      <c r="AX57" s="4" t="str">
        <f t="shared" si="13"/>
        <v/>
      </c>
      <c r="AY57" s="4"/>
      <c r="AZ57" s="4" t="s">
        <v>485</v>
      </c>
      <c r="BA57" s="4" t="s">
        <v>440</v>
      </c>
      <c r="BB57" s="4" t="s">
        <v>486</v>
      </c>
    </row>
    <row r="58" spans="1:54" ht="70.2" hidden="1"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c r="AH58" s="6">
        <v>46157</v>
      </c>
      <c r="AI58" s="4" t="s">
        <v>483</v>
      </c>
      <c r="AJ58" s="4" t="s">
        <v>491</v>
      </c>
      <c r="AK58" s="6">
        <v>46152</v>
      </c>
      <c r="AL58" s="4">
        <v>147</v>
      </c>
      <c r="AM58" s="4"/>
      <c r="AN58" s="4"/>
      <c r="AO58" s="4" t="str">
        <f t="shared" si="7"/>
        <v/>
      </c>
      <c r="AP58" s="4" t="str">
        <f t="shared" si="8"/>
        <v/>
      </c>
      <c r="AQ58" s="4">
        <f t="shared" si="9"/>
        <v>100</v>
      </c>
      <c r="AR58" s="4" t="str">
        <f t="shared" si="10"/>
        <v/>
      </c>
      <c r="AS58" s="4">
        <v>0</v>
      </c>
      <c r="AT58" s="5">
        <v>100</v>
      </c>
      <c r="AU58" s="4">
        <f t="shared" si="11"/>
        <v>100</v>
      </c>
      <c r="AV58" s="5">
        <v>100</v>
      </c>
      <c r="AW58" s="4">
        <f t="shared" si="12"/>
        <v>100</v>
      </c>
      <c r="AX58" s="4" t="str">
        <f t="shared" si="13"/>
        <v/>
      </c>
      <c r="AY58" s="4"/>
      <c r="AZ58" s="4" t="s">
        <v>492</v>
      </c>
      <c r="BA58" s="4" t="s">
        <v>109</v>
      </c>
      <c r="BB58" s="4" t="s">
        <v>69</v>
      </c>
    </row>
    <row r="59" spans="1:54" ht="70.2" hidden="1"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c r="AH59" s="6">
        <v>46157</v>
      </c>
      <c r="AI59" s="4" t="s">
        <v>498</v>
      </c>
      <c r="AJ59" s="4" t="s">
        <v>458</v>
      </c>
      <c r="AK59" s="6">
        <v>46152</v>
      </c>
      <c r="AL59" s="4">
        <v>77</v>
      </c>
      <c r="AM59" s="4"/>
      <c r="AN59" s="4"/>
      <c r="AO59" s="4" t="str">
        <f t="shared" si="7"/>
        <v/>
      </c>
      <c r="AP59" s="4" t="str">
        <f t="shared" si="8"/>
        <v/>
      </c>
      <c r="AQ59" s="4">
        <f t="shared" si="9"/>
        <v>100</v>
      </c>
      <c r="AR59" s="4" t="str">
        <f t="shared" si="10"/>
        <v/>
      </c>
      <c r="AS59" s="4">
        <v>0</v>
      </c>
      <c r="AT59" s="5">
        <v>100</v>
      </c>
      <c r="AU59" s="4">
        <f t="shared" si="11"/>
        <v>100</v>
      </c>
      <c r="AV59" s="5">
        <v>100</v>
      </c>
      <c r="AW59" s="4">
        <f t="shared" si="12"/>
        <v>100</v>
      </c>
      <c r="AX59" s="4" t="str">
        <f t="shared" si="13"/>
        <v/>
      </c>
      <c r="AY59" s="4"/>
      <c r="AZ59" s="4" t="s">
        <v>499</v>
      </c>
      <c r="BA59" s="4" t="s">
        <v>79</v>
      </c>
      <c r="BB59" s="4" t="s">
        <v>500</v>
      </c>
    </row>
    <row r="60" spans="1:54" ht="70.2" hidden="1" customHeight="1" x14ac:dyDescent="0.3">
      <c r="A60" s="4" t="s">
        <v>501</v>
      </c>
      <c r="B60" s="4" t="s">
        <v>99</v>
      </c>
      <c r="C60" s="4" t="s">
        <v>502</v>
      </c>
      <c r="D60" s="4" t="s">
        <v>1010</v>
      </c>
      <c r="E60" s="4" t="s">
        <v>314</v>
      </c>
      <c r="F60" s="4" t="s">
        <v>1011</v>
      </c>
      <c r="G60" s="4" t="s">
        <v>373</v>
      </c>
      <c r="H60" s="4"/>
      <c r="I60" s="4"/>
      <c r="J60" s="4" t="s">
        <v>1012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c r="AH60" s="6">
        <v>46157</v>
      </c>
      <c r="AI60" s="4"/>
      <c r="AJ60" s="4"/>
      <c r="AK60" s="6"/>
      <c r="AL60" s="4">
        <v>19</v>
      </c>
      <c r="AM60" s="4"/>
      <c r="AN60" s="4"/>
      <c r="AO60" s="4" t="str">
        <f t="shared" si="7"/>
        <v/>
      </c>
      <c r="AP60" s="4" t="str">
        <f t="shared" si="8"/>
        <v/>
      </c>
      <c r="AQ60" s="4">
        <f t="shared" si="9"/>
        <v>100</v>
      </c>
      <c r="AR60" s="4" t="str">
        <f t="shared" si="10"/>
        <v/>
      </c>
      <c r="AS60" s="4"/>
      <c r="AT60" s="5">
        <v>100</v>
      </c>
      <c r="AU60" s="4">
        <v>100</v>
      </c>
      <c r="AV60" s="5">
        <v>100</v>
      </c>
      <c r="AW60" s="4">
        <f t="shared" si="12"/>
        <v>100</v>
      </c>
      <c r="AX60" s="4" t="str">
        <f t="shared" si="13"/>
        <v/>
      </c>
      <c r="AY60" s="4"/>
      <c r="AZ60" s="4" t="s">
        <v>417</v>
      </c>
      <c r="BA60" s="4" t="s">
        <v>109</v>
      </c>
      <c r="BB60" s="4" t="s">
        <v>285</v>
      </c>
    </row>
  </sheetData>
  <mergeCells count="3">
    <mergeCell ref="A1:T1"/>
    <mergeCell ref="U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2" sqref="A2"/>
    </sheetView>
  </sheetViews>
  <sheetFormatPr baseColWidth="10" defaultColWidth="8.88671875" defaultRowHeight="14.4" x14ac:dyDescent="0.3"/>
  <cols>
    <col min="1" max="2" width="25.6640625" customWidth="1"/>
    <col min="3" max="3" width="32.21875" customWidth="1"/>
    <col min="4" max="31" width="25.6640625" customWidth="1"/>
    <col min="32" max="32" width="25.6640625" hidden="1" customWidth="1"/>
    <col min="33" max="36" width="25.6640625" customWidth="1"/>
    <col min="37" max="37" width="26.21875" bestFit="1" customWidth="1"/>
    <col min="38" max="38" width="22.88671875" hidden="1" customWidth="1"/>
    <col min="39" max="42" width="25.6640625" customWidth="1"/>
  </cols>
  <sheetData>
    <row r="1" spans="1:42" ht="40.200000000000003"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2"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1008</v>
      </c>
      <c r="AO2" s="1" t="s">
        <v>52</v>
      </c>
      <c r="AP2" s="3" t="s">
        <v>54</v>
      </c>
    </row>
    <row r="3" spans="1:42" ht="70.2"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46157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v>0</v>
      </c>
      <c r="AO3" s="4" t="s">
        <v>515</v>
      </c>
      <c r="AP3" s="4" t="s">
        <v>69</v>
      </c>
    </row>
    <row r="4" spans="1:42" ht="70.2"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46157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v>0</v>
      </c>
      <c r="AO4" s="4" t="s">
        <v>515</v>
      </c>
      <c r="AP4" s="4" t="s">
        <v>69</v>
      </c>
    </row>
    <row r="5" spans="1:42" ht="70.2" hidden="1"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c r="AO5" s="4" t="s">
        <v>525</v>
      </c>
      <c r="AP5" s="4" t="s">
        <v>97</v>
      </c>
    </row>
    <row r="6" spans="1:42" ht="70.2" hidden="1"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c r="AO6" s="4" t="s">
        <v>531</v>
      </c>
      <c r="AP6" s="4" t="s">
        <v>190</v>
      </c>
    </row>
    <row r="7" spans="1:42" ht="70.2" hidden="1"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c r="AO7" s="4" t="s">
        <v>531</v>
      </c>
      <c r="AP7" s="4" t="s">
        <v>69</v>
      </c>
    </row>
    <row r="8" spans="1:42" ht="70.2" customHeight="1" x14ac:dyDescent="0.3">
      <c r="A8" s="4">
        <v>2023002700011</v>
      </c>
      <c r="B8" s="4" t="s">
        <v>521</v>
      </c>
      <c r="C8" s="4" t="s">
        <v>536</v>
      </c>
      <c r="D8" s="4" t="s">
        <v>537</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46157</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v>0</v>
      </c>
      <c r="AO8" s="4" t="s">
        <v>515</v>
      </c>
      <c r="AP8" s="4" t="s">
        <v>538</v>
      </c>
    </row>
    <row r="9" spans="1:42" ht="70.2" hidden="1" customHeight="1" x14ac:dyDescent="0.3">
      <c r="A9" s="4" t="s">
        <v>539</v>
      </c>
      <c r="B9" s="4" t="s">
        <v>521</v>
      </c>
      <c r="C9" s="4" t="s">
        <v>540</v>
      </c>
      <c r="D9" s="4" t="s">
        <v>541</v>
      </c>
      <c r="E9" s="4" t="s">
        <v>314</v>
      </c>
      <c r="F9" s="4" t="s">
        <v>542</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c r="AO9" s="4" t="s">
        <v>515</v>
      </c>
      <c r="AP9" s="4" t="s">
        <v>543</v>
      </c>
    </row>
    <row r="10" spans="1:42" ht="70.2" hidden="1" customHeight="1" x14ac:dyDescent="0.3">
      <c r="A10" s="4" t="s">
        <v>544</v>
      </c>
      <c r="B10" s="4" t="s">
        <v>521</v>
      </c>
      <c r="C10" s="4" t="s">
        <v>545</v>
      </c>
      <c r="D10" s="4" t="s">
        <v>546</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c r="AP10" s="4" t="s">
        <v>240</v>
      </c>
    </row>
    <row r="11" spans="1:42" ht="70.2" hidden="1" customHeight="1" x14ac:dyDescent="0.3">
      <c r="A11" s="4" t="s">
        <v>547</v>
      </c>
      <c r="B11" s="4" t="s">
        <v>510</v>
      </c>
      <c r="C11" s="4" t="s">
        <v>548</v>
      </c>
      <c r="D11" s="4" t="s">
        <v>549</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c r="AP11" s="4" t="s">
        <v>140</v>
      </c>
    </row>
    <row r="12" spans="1:42" ht="70.2" hidden="1" customHeight="1" x14ac:dyDescent="0.3">
      <c r="A12" s="4" t="s">
        <v>550</v>
      </c>
      <c r="B12" s="4" t="s">
        <v>551</v>
      </c>
      <c r="C12" s="4" t="s">
        <v>552</v>
      </c>
      <c r="D12" s="4" t="s">
        <v>553</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c r="AO12" s="4" t="s">
        <v>554</v>
      </c>
      <c r="AP12" s="4" t="s">
        <v>555</v>
      </c>
    </row>
    <row r="13" spans="1:42" ht="70.2" customHeight="1" x14ac:dyDescent="0.3">
      <c r="A13" s="4">
        <v>2024002700158</v>
      </c>
      <c r="B13" s="4" t="s">
        <v>510</v>
      </c>
      <c r="C13" s="4" t="s">
        <v>556</v>
      </c>
      <c r="D13" s="4" t="s">
        <v>557</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46157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v>100</v>
      </c>
      <c r="AO13" s="4"/>
      <c r="AP13" s="4" t="s">
        <v>97</v>
      </c>
    </row>
    <row r="14" spans="1:42" ht="70.2" hidden="1" customHeight="1" x14ac:dyDescent="0.3">
      <c r="A14" s="4" t="s">
        <v>558</v>
      </c>
      <c r="B14" s="4" t="s">
        <v>551</v>
      </c>
      <c r="C14" s="4" t="s">
        <v>559</v>
      </c>
      <c r="D14" s="4" t="s">
        <v>560</v>
      </c>
      <c r="E14" s="4" t="s">
        <v>282</v>
      </c>
      <c r="F14" s="4" t="s">
        <v>105</v>
      </c>
      <c r="G14" s="4" t="s">
        <v>93</v>
      </c>
      <c r="H14" s="4" t="s">
        <v>561</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c r="AP14" s="4" t="s">
        <v>240</v>
      </c>
    </row>
    <row r="15" spans="1:42" ht="70.2" hidden="1" customHeight="1" x14ac:dyDescent="0.3">
      <c r="A15" s="4" t="s">
        <v>562</v>
      </c>
      <c r="B15" s="4" t="s">
        <v>510</v>
      </c>
      <c r="C15" s="4" t="s">
        <v>563</v>
      </c>
      <c r="D15" s="4" t="s">
        <v>564</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c r="AP15" s="4" t="s">
        <v>565</v>
      </c>
    </row>
    <row r="16" spans="1:42" ht="70.2" hidden="1" customHeight="1" x14ac:dyDescent="0.3">
      <c r="A16" s="4" t="s">
        <v>566</v>
      </c>
      <c r="B16" s="4" t="s">
        <v>551</v>
      </c>
      <c r="C16" s="4" t="s">
        <v>567</v>
      </c>
      <c r="D16" s="4" t="s">
        <v>568</v>
      </c>
      <c r="E16" s="4" t="s">
        <v>282</v>
      </c>
      <c r="F16" s="4" t="s">
        <v>238</v>
      </c>
      <c r="G16" s="4" t="s">
        <v>400</v>
      </c>
      <c r="H16" s="4" t="s">
        <v>561</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c r="AP16" s="4" t="s">
        <v>361</v>
      </c>
    </row>
    <row r="17" spans="1:42" ht="70.2" hidden="1" customHeight="1" x14ac:dyDescent="0.3">
      <c r="A17" s="4" t="s">
        <v>569</v>
      </c>
      <c r="B17" s="4" t="s">
        <v>551</v>
      </c>
      <c r="C17" s="4" t="s">
        <v>570</v>
      </c>
      <c r="D17" s="4" t="s">
        <v>571</v>
      </c>
      <c r="E17" s="4" t="s">
        <v>282</v>
      </c>
      <c r="F17" s="4" t="s">
        <v>238</v>
      </c>
      <c r="G17" s="4" t="s">
        <v>93</v>
      </c>
      <c r="H17" s="4" t="s">
        <v>561</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c r="AP17" s="4" t="s">
        <v>572</v>
      </c>
    </row>
    <row r="18" spans="1:42" ht="70.2" hidden="1" customHeight="1" x14ac:dyDescent="0.3">
      <c r="A18" s="4" t="s">
        <v>573</v>
      </c>
      <c r="B18" s="4" t="s">
        <v>510</v>
      </c>
      <c r="C18" s="4" t="s">
        <v>574</v>
      </c>
      <c r="D18" s="4" t="s">
        <v>575</v>
      </c>
      <c r="E18" s="4" t="s">
        <v>307</v>
      </c>
      <c r="F18" s="4" t="s">
        <v>576</v>
      </c>
      <c r="G18" s="4" t="s">
        <v>373</v>
      </c>
      <c r="H18" s="4" t="s">
        <v>577</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c r="AP18" s="4" t="s">
        <v>578</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sqref="A1:S1"/>
    </sheetView>
  </sheetViews>
  <sheetFormatPr baseColWidth="10" defaultColWidth="8.88671875" defaultRowHeight="14.4" x14ac:dyDescent="0.3"/>
  <cols>
    <col min="1" max="19" width="25.6640625" customWidth="1"/>
  </cols>
  <sheetData>
    <row r="1" spans="1:19" ht="40.200000000000003" customHeight="1" x14ac:dyDescent="0.3">
      <c r="A1" s="7" t="s">
        <v>0</v>
      </c>
      <c r="B1" s="7"/>
      <c r="C1" s="7"/>
      <c r="D1" s="7"/>
      <c r="E1" s="7"/>
      <c r="F1" s="7"/>
      <c r="G1" s="7"/>
      <c r="H1" s="7"/>
      <c r="I1" s="7"/>
      <c r="J1" s="7"/>
      <c r="K1" s="7"/>
      <c r="L1" s="7"/>
      <c r="M1" s="7"/>
      <c r="N1" s="7"/>
      <c r="O1" s="7"/>
      <c r="P1" s="7"/>
      <c r="Q1" s="7"/>
      <c r="R1" s="7"/>
      <c r="S1" s="7"/>
    </row>
    <row r="2" spans="1:19" ht="70.2"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579</v>
      </c>
      <c r="S2" s="3" t="s">
        <v>54</v>
      </c>
    </row>
    <row r="3" spans="1:19" ht="70.2" customHeight="1" x14ac:dyDescent="0.3">
      <c r="A3" s="4" t="s">
        <v>580</v>
      </c>
      <c r="B3" s="4" t="s">
        <v>581</v>
      </c>
      <c r="C3" s="4" t="s">
        <v>582</v>
      </c>
      <c r="D3" s="4" t="s">
        <v>583</v>
      </c>
      <c r="E3" s="4" t="s">
        <v>102</v>
      </c>
      <c r="F3" s="4" t="s">
        <v>64</v>
      </c>
      <c r="G3" s="4" t="s">
        <v>61</v>
      </c>
      <c r="H3" s="4" t="s">
        <v>584</v>
      </c>
      <c r="I3" s="5">
        <v>22526692745</v>
      </c>
      <c r="J3" s="5">
        <v>0</v>
      </c>
      <c r="K3" s="5">
        <v>22526692745</v>
      </c>
      <c r="L3" s="6">
        <v>41201</v>
      </c>
      <c r="M3" s="6"/>
      <c r="N3" s="6">
        <v>41829</v>
      </c>
      <c r="O3" s="6">
        <v>42072</v>
      </c>
      <c r="P3" s="5">
        <v>100</v>
      </c>
      <c r="Q3" s="5">
        <v>99.82</v>
      </c>
      <c r="R3" s="4"/>
      <c r="S3" s="4" t="s">
        <v>585</v>
      </c>
    </row>
    <row r="4" spans="1:19" ht="70.2" customHeight="1" x14ac:dyDescent="0.3">
      <c r="A4" s="4" t="s">
        <v>586</v>
      </c>
      <c r="B4" s="4" t="s">
        <v>587</v>
      </c>
      <c r="C4" s="4" t="s">
        <v>588</v>
      </c>
      <c r="D4" s="4" t="s">
        <v>589</v>
      </c>
      <c r="E4" s="4" t="s">
        <v>102</v>
      </c>
      <c r="F4" s="4" t="s">
        <v>238</v>
      </c>
      <c r="G4" s="4" t="s">
        <v>61</v>
      </c>
      <c r="H4" s="4" t="s">
        <v>514</v>
      </c>
      <c r="I4" s="5">
        <v>924979909</v>
      </c>
      <c r="J4" s="5">
        <v>30000000</v>
      </c>
      <c r="K4" s="5">
        <v>954979909</v>
      </c>
      <c r="L4" s="6">
        <v>41191</v>
      </c>
      <c r="M4" s="6"/>
      <c r="N4" s="6">
        <v>41304</v>
      </c>
      <c r="O4" s="6">
        <v>41452</v>
      </c>
      <c r="P4" s="5">
        <v>100</v>
      </c>
      <c r="Q4" s="5">
        <v>0</v>
      </c>
      <c r="R4" s="4"/>
      <c r="S4" s="4" t="s">
        <v>590</v>
      </c>
    </row>
    <row r="5" spans="1:19" ht="70.2" customHeight="1" x14ac:dyDescent="0.3">
      <c r="A5" s="4" t="s">
        <v>591</v>
      </c>
      <c r="B5" s="4" t="s">
        <v>592</v>
      </c>
      <c r="C5" s="4" t="s">
        <v>593</v>
      </c>
      <c r="D5" s="4" t="s">
        <v>594</v>
      </c>
      <c r="E5" s="4" t="s">
        <v>102</v>
      </c>
      <c r="F5" s="4" t="s">
        <v>238</v>
      </c>
      <c r="G5" s="4" t="s">
        <v>61</v>
      </c>
      <c r="H5" s="4" t="s">
        <v>584</v>
      </c>
      <c r="I5" s="5">
        <v>999998309</v>
      </c>
      <c r="J5" s="5">
        <v>11000000</v>
      </c>
      <c r="K5" s="5">
        <v>1010998309</v>
      </c>
      <c r="L5" s="6">
        <v>41191</v>
      </c>
      <c r="M5" s="6"/>
      <c r="N5" s="6">
        <v>41276</v>
      </c>
      <c r="O5" s="6">
        <v>41355</v>
      </c>
      <c r="P5" s="5">
        <v>98.9</v>
      </c>
      <c r="Q5" s="5">
        <v>98.2</v>
      </c>
      <c r="R5" s="4"/>
      <c r="S5" s="4" t="s">
        <v>595</v>
      </c>
    </row>
    <row r="6" spans="1:19" ht="70.2" customHeight="1" x14ac:dyDescent="0.3">
      <c r="A6" s="4" t="s">
        <v>596</v>
      </c>
      <c r="B6" s="4" t="s">
        <v>597</v>
      </c>
      <c r="C6" s="4" t="s">
        <v>598</v>
      </c>
      <c r="D6" s="4" t="s">
        <v>599</v>
      </c>
      <c r="E6" s="4" t="s">
        <v>102</v>
      </c>
      <c r="F6" s="4" t="s">
        <v>64</v>
      </c>
      <c r="G6" s="4" t="s">
        <v>61</v>
      </c>
      <c r="H6" s="4" t="s">
        <v>584</v>
      </c>
      <c r="I6" s="5">
        <v>16567304387</v>
      </c>
      <c r="J6" s="5">
        <v>0</v>
      </c>
      <c r="K6" s="5">
        <v>16567304387</v>
      </c>
      <c r="L6" s="6">
        <v>41533</v>
      </c>
      <c r="M6" s="6"/>
      <c r="N6" s="6">
        <v>41537</v>
      </c>
      <c r="O6" s="6">
        <v>41669</v>
      </c>
      <c r="P6" s="5">
        <v>100</v>
      </c>
      <c r="Q6" s="5">
        <v>99.98</v>
      </c>
      <c r="R6" s="4"/>
      <c r="S6" s="4" t="s">
        <v>600</v>
      </c>
    </row>
    <row r="7" spans="1:19" ht="70.2" customHeight="1" x14ac:dyDescent="0.3">
      <c r="A7" s="4" t="s">
        <v>601</v>
      </c>
      <c r="B7" s="4" t="s">
        <v>592</v>
      </c>
      <c r="C7" s="4" t="s">
        <v>602</v>
      </c>
      <c r="D7" s="4" t="s">
        <v>603</v>
      </c>
      <c r="E7" s="4" t="s">
        <v>102</v>
      </c>
      <c r="F7" s="4" t="s">
        <v>604</v>
      </c>
      <c r="G7" s="4" t="s">
        <v>61</v>
      </c>
      <c r="H7" s="4" t="s">
        <v>514</v>
      </c>
      <c r="I7" s="5">
        <v>12429000000</v>
      </c>
      <c r="J7" s="5">
        <v>159110083</v>
      </c>
      <c r="K7" s="5">
        <v>12588110083</v>
      </c>
      <c r="L7" s="6">
        <v>41907</v>
      </c>
      <c r="M7" s="6"/>
      <c r="N7" s="6">
        <v>42821</v>
      </c>
      <c r="O7" s="6">
        <v>42226</v>
      </c>
      <c r="P7" s="5">
        <v>100</v>
      </c>
      <c r="Q7" s="5">
        <v>99.51</v>
      </c>
      <c r="R7" s="4"/>
      <c r="S7" s="4" t="s">
        <v>595</v>
      </c>
    </row>
    <row r="8" spans="1:19" ht="70.2" customHeight="1" x14ac:dyDescent="0.3">
      <c r="A8" s="4" t="s">
        <v>605</v>
      </c>
      <c r="B8" s="4" t="s">
        <v>606</v>
      </c>
      <c r="C8" s="4" t="s">
        <v>607</v>
      </c>
      <c r="D8" s="4" t="s">
        <v>608</v>
      </c>
      <c r="E8" s="4" t="s">
        <v>388</v>
      </c>
      <c r="F8" s="4" t="s">
        <v>64</v>
      </c>
      <c r="G8" s="4" t="s">
        <v>93</v>
      </c>
      <c r="H8" s="4" t="s">
        <v>530</v>
      </c>
      <c r="I8" s="5">
        <v>14996018261</v>
      </c>
      <c r="J8" s="5">
        <v>0</v>
      </c>
      <c r="K8" s="5">
        <v>14996018261</v>
      </c>
      <c r="L8" s="6">
        <v>41376</v>
      </c>
      <c r="M8" s="6"/>
      <c r="N8" s="6">
        <v>41380</v>
      </c>
      <c r="O8" s="6">
        <v>41676</v>
      </c>
      <c r="P8" s="5">
        <v>45.35</v>
      </c>
      <c r="Q8" s="5">
        <v>49.54</v>
      </c>
      <c r="R8" s="4"/>
      <c r="S8" s="4" t="s">
        <v>609</v>
      </c>
    </row>
    <row r="9" spans="1:19" ht="70.2" customHeight="1" x14ac:dyDescent="0.3">
      <c r="A9" s="4" t="s">
        <v>610</v>
      </c>
      <c r="B9" s="4" t="s">
        <v>611</v>
      </c>
      <c r="C9" s="4" t="s">
        <v>612</v>
      </c>
      <c r="D9" s="4" t="s">
        <v>613</v>
      </c>
      <c r="E9" s="4" t="s">
        <v>102</v>
      </c>
      <c r="F9" s="4" t="s">
        <v>614</v>
      </c>
      <c r="G9" s="4" t="s">
        <v>61</v>
      </c>
      <c r="H9" s="4" t="s">
        <v>524</v>
      </c>
      <c r="I9" s="5">
        <v>14913362760</v>
      </c>
      <c r="J9" s="5">
        <v>0</v>
      </c>
      <c r="K9" s="5">
        <v>14913362760</v>
      </c>
      <c r="L9" s="6">
        <v>41907</v>
      </c>
      <c r="M9" s="6"/>
      <c r="N9" s="6">
        <v>42990</v>
      </c>
      <c r="O9" s="6">
        <v>42023</v>
      </c>
      <c r="P9" s="5">
        <v>99.99</v>
      </c>
      <c r="Q9" s="5">
        <v>99.56</v>
      </c>
      <c r="R9" s="4"/>
      <c r="S9" s="4" t="s">
        <v>323</v>
      </c>
    </row>
    <row r="10" spans="1:19" ht="70.2" customHeight="1" x14ac:dyDescent="0.3">
      <c r="A10" s="4" t="s">
        <v>615</v>
      </c>
      <c r="B10" s="4" t="s">
        <v>616</v>
      </c>
      <c r="C10" s="4" t="s">
        <v>617</v>
      </c>
      <c r="D10" s="4" t="s">
        <v>618</v>
      </c>
      <c r="E10" s="4" t="s">
        <v>102</v>
      </c>
      <c r="F10" s="4" t="s">
        <v>619</v>
      </c>
      <c r="G10" s="4" t="s">
        <v>61</v>
      </c>
      <c r="H10" s="4" t="s">
        <v>514</v>
      </c>
      <c r="I10" s="5">
        <v>7037696704</v>
      </c>
      <c r="J10" s="5">
        <v>700920310</v>
      </c>
      <c r="K10" s="5">
        <v>7738617014</v>
      </c>
      <c r="L10" s="6">
        <v>41907</v>
      </c>
      <c r="M10" s="6"/>
      <c r="N10" s="6">
        <v>42006</v>
      </c>
      <c r="O10" s="6">
        <v>42060</v>
      </c>
      <c r="P10" s="5">
        <v>100</v>
      </c>
      <c r="Q10" s="5">
        <v>85.88</v>
      </c>
      <c r="R10" s="4"/>
      <c r="S10" s="4" t="s">
        <v>620</v>
      </c>
    </row>
    <row r="11" spans="1:19" ht="70.2" customHeight="1" x14ac:dyDescent="0.3">
      <c r="A11" s="4" t="s">
        <v>621</v>
      </c>
      <c r="B11" s="4" t="s">
        <v>622</v>
      </c>
      <c r="C11" s="4" t="s">
        <v>623</v>
      </c>
      <c r="D11" s="4" t="s">
        <v>624</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2" customHeight="1" x14ac:dyDescent="0.3">
      <c r="A12" s="4" t="s">
        <v>625</v>
      </c>
      <c r="B12" s="4" t="s">
        <v>626</v>
      </c>
      <c r="C12" s="4" t="s">
        <v>627</v>
      </c>
      <c r="D12" s="4" t="s">
        <v>628</v>
      </c>
      <c r="E12" s="4" t="s">
        <v>102</v>
      </c>
      <c r="F12" s="4" t="s">
        <v>629</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2" customHeight="1" x14ac:dyDescent="0.3">
      <c r="A13" s="4" t="s">
        <v>630</v>
      </c>
      <c r="B13" s="4" t="s">
        <v>631</v>
      </c>
      <c r="C13" s="4" t="s">
        <v>632</v>
      </c>
      <c r="D13" s="4" t="s">
        <v>633</v>
      </c>
      <c r="E13" s="4" t="s">
        <v>102</v>
      </c>
      <c r="F13" s="4" t="s">
        <v>634</v>
      </c>
      <c r="G13" s="4" t="s">
        <v>61</v>
      </c>
      <c r="H13" s="4" t="s">
        <v>635</v>
      </c>
      <c r="I13" s="5">
        <v>54337268559</v>
      </c>
      <c r="J13" s="5">
        <v>8559008426</v>
      </c>
      <c r="K13" s="5">
        <v>62896276985</v>
      </c>
      <c r="L13" s="6">
        <v>43165</v>
      </c>
      <c r="M13" s="6"/>
      <c r="N13" s="6">
        <v>43171</v>
      </c>
      <c r="O13" s="6">
        <v>43410</v>
      </c>
      <c r="P13" s="5">
        <v>100</v>
      </c>
      <c r="Q13" s="5">
        <v>99.87</v>
      </c>
      <c r="R13" s="4"/>
      <c r="S13" s="4" t="s">
        <v>636</v>
      </c>
    </row>
    <row r="14" spans="1:19" ht="70.2" customHeight="1" x14ac:dyDescent="0.3">
      <c r="A14" s="4" t="s">
        <v>637</v>
      </c>
      <c r="B14" s="4" t="s">
        <v>638</v>
      </c>
      <c r="C14" s="4" t="s">
        <v>639</v>
      </c>
      <c r="D14" s="4" t="s">
        <v>640</v>
      </c>
      <c r="E14" s="4" t="s">
        <v>102</v>
      </c>
      <c r="F14" s="4" t="s">
        <v>641</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2" customHeight="1" x14ac:dyDescent="0.3">
      <c r="A15" s="4" t="s">
        <v>642</v>
      </c>
      <c r="B15" s="4" t="s">
        <v>643</v>
      </c>
      <c r="C15" s="4" t="s">
        <v>644</v>
      </c>
      <c r="D15" s="4" t="s">
        <v>645</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646</v>
      </c>
    </row>
    <row r="16" spans="1:19" ht="70.2" customHeight="1" x14ac:dyDescent="0.3">
      <c r="A16" s="4" t="s">
        <v>647</v>
      </c>
      <c r="B16" s="4" t="s">
        <v>648</v>
      </c>
      <c r="C16" s="4" t="s">
        <v>649</v>
      </c>
      <c r="D16" s="4" t="s">
        <v>650</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651</v>
      </c>
    </row>
    <row r="17" spans="1:19" ht="70.2" customHeight="1" x14ac:dyDescent="0.3">
      <c r="A17" s="4" t="s">
        <v>652</v>
      </c>
      <c r="B17" s="4" t="s">
        <v>653</v>
      </c>
      <c r="C17" s="4" t="s">
        <v>654</v>
      </c>
      <c r="D17" s="4" t="s">
        <v>655</v>
      </c>
      <c r="E17" s="4" t="s">
        <v>74</v>
      </c>
      <c r="F17" s="4" t="s">
        <v>116</v>
      </c>
      <c r="G17" s="4" t="s">
        <v>93</v>
      </c>
      <c r="H17" s="4" t="s">
        <v>561</v>
      </c>
      <c r="I17" s="5">
        <v>1027100000</v>
      </c>
      <c r="J17" s="5">
        <v>100575000</v>
      </c>
      <c r="K17" s="5">
        <v>1127675000</v>
      </c>
      <c r="L17" s="6">
        <v>43781</v>
      </c>
      <c r="M17" s="6"/>
      <c r="N17" s="6">
        <v>43948</v>
      </c>
      <c r="O17" s="6">
        <v>44223</v>
      </c>
      <c r="P17" s="5">
        <v>96.9</v>
      </c>
      <c r="Q17" s="5">
        <v>97.16</v>
      </c>
      <c r="R17" s="4"/>
      <c r="S17" s="4" t="s">
        <v>656</v>
      </c>
    </row>
    <row r="18" spans="1:19" ht="70.2" customHeight="1" x14ac:dyDescent="0.3">
      <c r="A18" s="4" t="s">
        <v>657</v>
      </c>
      <c r="B18" s="4" t="s">
        <v>658</v>
      </c>
      <c r="C18" s="4" t="s">
        <v>659</v>
      </c>
      <c r="D18" s="4" t="s">
        <v>660</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661</v>
      </c>
    </row>
    <row r="19" spans="1:19" ht="70.2" customHeight="1" x14ac:dyDescent="0.3">
      <c r="A19" s="4" t="s">
        <v>662</v>
      </c>
      <c r="B19" s="4" t="s">
        <v>663</v>
      </c>
      <c r="C19" s="4" t="s">
        <v>664</v>
      </c>
      <c r="D19" s="4" t="s">
        <v>665</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666</v>
      </c>
    </row>
    <row r="20" spans="1:19" ht="70.2" customHeight="1" x14ac:dyDescent="0.3">
      <c r="A20" s="4" t="s">
        <v>667</v>
      </c>
      <c r="B20" s="4" t="s">
        <v>668</v>
      </c>
      <c r="C20" s="4" t="s">
        <v>669</v>
      </c>
      <c r="D20" s="4" t="s">
        <v>670</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671</v>
      </c>
    </row>
    <row r="21" spans="1:19" ht="70.2" customHeight="1" x14ac:dyDescent="0.3">
      <c r="A21" s="4" t="s">
        <v>672</v>
      </c>
      <c r="B21" s="4" t="s">
        <v>673</v>
      </c>
      <c r="C21" s="4" t="s">
        <v>674</v>
      </c>
      <c r="D21" s="4" t="s">
        <v>675</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2" customHeight="1" x14ac:dyDescent="0.3">
      <c r="A22" s="4" t="s">
        <v>676</v>
      </c>
      <c r="B22" s="4" t="s">
        <v>677</v>
      </c>
      <c r="C22" s="4" t="s">
        <v>678</v>
      </c>
      <c r="D22" s="4" t="s">
        <v>679</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2" customHeight="1" x14ac:dyDescent="0.3">
      <c r="A23" s="4" t="s">
        <v>680</v>
      </c>
      <c r="B23" s="4" t="s">
        <v>681</v>
      </c>
      <c r="C23" s="4" t="s">
        <v>682</v>
      </c>
      <c r="D23" s="4" t="s">
        <v>683</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651</v>
      </c>
    </row>
    <row r="24" spans="1:19" ht="70.2" customHeight="1" x14ac:dyDescent="0.3">
      <c r="A24" s="4" t="s">
        <v>684</v>
      </c>
      <c r="B24" s="4" t="s">
        <v>685</v>
      </c>
      <c r="C24" s="4" t="s">
        <v>686</v>
      </c>
      <c r="D24" s="4" t="s">
        <v>687</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688</v>
      </c>
    </row>
    <row r="25" spans="1:19" ht="70.2" customHeight="1" x14ac:dyDescent="0.3">
      <c r="A25" s="4" t="s">
        <v>689</v>
      </c>
      <c r="B25" s="4" t="s">
        <v>690</v>
      </c>
      <c r="C25" s="4" t="s">
        <v>691</v>
      </c>
      <c r="D25" s="4" t="s">
        <v>692</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693</v>
      </c>
    </row>
    <row r="26" spans="1:19" ht="70.2" customHeight="1" x14ac:dyDescent="0.3">
      <c r="A26" s="4" t="s">
        <v>694</v>
      </c>
      <c r="B26" s="4" t="s">
        <v>695</v>
      </c>
      <c r="C26" s="4" t="s">
        <v>696</v>
      </c>
      <c r="D26" s="4" t="s">
        <v>697</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698</v>
      </c>
    </row>
    <row r="27" spans="1:19" ht="70.2" customHeight="1" x14ac:dyDescent="0.3">
      <c r="A27" s="4" t="s">
        <v>699</v>
      </c>
      <c r="B27" s="4" t="s">
        <v>700</v>
      </c>
      <c r="C27" s="4" t="s">
        <v>701</v>
      </c>
      <c r="D27" s="4" t="s">
        <v>702</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703</v>
      </c>
    </row>
    <row r="28" spans="1:19" ht="70.2" customHeight="1" x14ac:dyDescent="0.3">
      <c r="A28" s="4" t="s">
        <v>704</v>
      </c>
      <c r="B28" s="4" t="s">
        <v>705</v>
      </c>
      <c r="C28" s="4" t="s">
        <v>706</v>
      </c>
      <c r="D28" s="4" t="s">
        <v>707</v>
      </c>
      <c r="E28" s="4" t="s">
        <v>59</v>
      </c>
      <c r="F28" s="4" t="s">
        <v>708</v>
      </c>
      <c r="G28" s="4" t="s">
        <v>61</v>
      </c>
      <c r="H28" s="4" t="s">
        <v>514</v>
      </c>
      <c r="I28" s="5">
        <v>729826686</v>
      </c>
      <c r="J28" s="5">
        <v>465734861</v>
      </c>
      <c r="K28" s="5">
        <v>1195561547</v>
      </c>
      <c r="L28" s="6">
        <v>43825</v>
      </c>
      <c r="M28" s="6"/>
      <c r="N28" s="6">
        <v>43875</v>
      </c>
      <c r="O28" s="6">
        <v>44074</v>
      </c>
      <c r="P28" s="5">
        <v>100</v>
      </c>
      <c r="Q28" s="5">
        <v>99.24</v>
      </c>
      <c r="R28" s="4"/>
      <c r="S28" s="4" t="s">
        <v>709</v>
      </c>
    </row>
    <row r="29" spans="1:19" ht="70.2" customHeight="1" x14ac:dyDescent="0.3">
      <c r="A29" s="4" t="s">
        <v>710</v>
      </c>
      <c r="B29" s="4" t="s">
        <v>626</v>
      </c>
      <c r="C29" s="4" t="s">
        <v>711</v>
      </c>
      <c r="D29" s="4" t="s">
        <v>712</v>
      </c>
      <c r="E29" s="4" t="s">
        <v>282</v>
      </c>
      <c r="F29" s="4" t="s">
        <v>713</v>
      </c>
      <c r="G29" s="4" t="s">
        <v>61</v>
      </c>
      <c r="H29" s="4" t="s">
        <v>514</v>
      </c>
      <c r="I29" s="5">
        <v>37141732473</v>
      </c>
      <c r="J29" s="5">
        <v>0</v>
      </c>
      <c r="K29" s="5">
        <v>37141732473</v>
      </c>
      <c r="L29" s="6">
        <v>43812</v>
      </c>
      <c r="M29" s="6"/>
      <c r="N29" s="6">
        <v>43817</v>
      </c>
      <c r="O29" s="6">
        <v>44228</v>
      </c>
      <c r="P29" s="5">
        <v>99.87</v>
      </c>
      <c r="Q29" s="5">
        <v>97.75</v>
      </c>
      <c r="R29" s="4"/>
      <c r="S29" s="4" t="s">
        <v>69</v>
      </c>
    </row>
    <row r="30" spans="1:19" ht="70.2" customHeight="1" x14ac:dyDescent="0.3">
      <c r="A30" s="4" t="s">
        <v>714</v>
      </c>
      <c r="B30" s="4" t="s">
        <v>592</v>
      </c>
      <c r="C30" s="4" t="s">
        <v>715</v>
      </c>
      <c r="D30" s="4" t="s">
        <v>716</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595</v>
      </c>
    </row>
    <row r="31" spans="1:19" ht="70.2" customHeight="1" x14ac:dyDescent="0.3">
      <c r="A31" s="4" t="s">
        <v>717</v>
      </c>
      <c r="B31" s="4" t="s">
        <v>718</v>
      </c>
      <c r="C31" s="4" t="s">
        <v>719</v>
      </c>
      <c r="D31" s="4" t="s">
        <v>720</v>
      </c>
      <c r="E31" s="4" t="s">
        <v>102</v>
      </c>
      <c r="F31" s="4" t="s">
        <v>721</v>
      </c>
      <c r="G31" s="4" t="s">
        <v>230</v>
      </c>
      <c r="H31" s="4" t="s">
        <v>584</v>
      </c>
      <c r="I31" s="5">
        <v>38700180208.470001</v>
      </c>
      <c r="J31" s="5">
        <v>236000000</v>
      </c>
      <c r="K31" s="5">
        <v>38936180208.470001</v>
      </c>
      <c r="L31" s="6">
        <v>44195</v>
      </c>
      <c r="M31" s="6"/>
      <c r="N31" s="6">
        <v>44952</v>
      </c>
      <c r="O31" s="6">
        <v>44595</v>
      </c>
      <c r="P31" s="5">
        <v>100</v>
      </c>
      <c r="Q31" s="5">
        <v>100</v>
      </c>
      <c r="R31" s="4"/>
      <c r="S31" s="4" t="s">
        <v>722</v>
      </c>
    </row>
    <row r="32" spans="1:19" ht="70.2" customHeight="1" x14ac:dyDescent="0.3">
      <c r="A32" s="4" t="s">
        <v>723</v>
      </c>
      <c r="B32" s="4" t="s">
        <v>631</v>
      </c>
      <c r="C32" s="4" t="s">
        <v>724</v>
      </c>
      <c r="D32" s="4" t="s">
        <v>725</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726</v>
      </c>
    </row>
    <row r="33" spans="1:19" ht="70.2" customHeight="1" x14ac:dyDescent="0.3">
      <c r="A33" s="4" t="s">
        <v>727</v>
      </c>
      <c r="B33" s="4" t="s">
        <v>663</v>
      </c>
      <c r="C33" s="4" t="s">
        <v>728</v>
      </c>
      <c r="D33" s="4" t="s">
        <v>729</v>
      </c>
      <c r="E33" s="4" t="s">
        <v>74</v>
      </c>
      <c r="F33" s="4" t="s">
        <v>116</v>
      </c>
      <c r="G33" s="4" t="s">
        <v>61</v>
      </c>
      <c r="H33" s="4" t="s">
        <v>584</v>
      </c>
      <c r="I33" s="5">
        <v>1998000000</v>
      </c>
      <c r="J33" s="5">
        <v>416100000</v>
      </c>
      <c r="K33" s="5">
        <v>2414100000</v>
      </c>
      <c r="L33" s="6">
        <v>43950</v>
      </c>
      <c r="M33" s="6"/>
      <c r="N33" s="6">
        <v>44001</v>
      </c>
      <c r="O33" s="6">
        <v>44133</v>
      </c>
      <c r="P33" s="5">
        <v>100</v>
      </c>
      <c r="Q33" s="5">
        <v>100</v>
      </c>
      <c r="R33" s="4"/>
      <c r="S33" s="4" t="s">
        <v>730</v>
      </c>
    </row>
    <row r="34" spans="1:19" ht="70.2" customHeight="1" x14ac:dyDescent="0.3">
      <c r="A34" s="4" t="s">
        <v>731</v>
      </c>
      <c r="B34" s="4" t="s">
        <v>663</v>
      </c>
      <c r="C34" s="4" t="s">
        <v>732</v>
      </c>
      <c r="D34" s="4" t="s">
        <v>733</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666</v>
      </c>
    </row>
    <row r="35" spans="1:19" ht="70.2" customHeight="1" x14ac:dyDescent="0.3">
      <c r="A35" s="4" t="s">
        <v>734</v>
      </c>
      <c r="B35" s="4" t="s">
        <v>735</v>
      </c>
      <c r="C35" s="4" t="s">
        <v>736</v>
      </c>
      <c r="D35" s="4" t="s">
        <v>737</v>
      </c>
      <c r="E35" s="4" t="s">
        <v>74</v>
      </c>
      <c r="F35" s="4" t="s">
        <v>116</v>
      </c>
      <c r="G35" s="4" t="s">
        <v>230</v>
      </c>
      <c r="H35" s="4" t="s">
        <v>584</v>
      </c>
      <c r="I35" s="5">
        <v>1999910691</v>
      </c>
      <c r="J35" s="5">
        <v>1839271262</v>
      </c>
      <c r="K35" s="5">
        <v>3839181953</v>
      </c>
      <c r="L35" s="6">
        <v>44078</v>
      </c>
      <c r="M35" s="6"/>
      <c r="N35" s="6">
        <v>45385</v>
      </c>
      <c r="O35" s="6">
        <v>44252</v>
      </c>
      <c r="P35" s="5">
        <v>99.9</v>
      </c>
      <c r="Q35" s="5">
        <v>100</v>
      </c>
      <c r="R35" s="4"/>
      <c r="S35" s="4" t="s">
        <v>738</v>
      </c>
    </row>
    <row r="36" spans="1:19" ht="70.2" customHeight="1" x14ac:dyDescent="0.3">
      <c r="A36" s="4" t="s">
        <v>739</v>
      </c>
      <c r="B36" s="4" t="s">
        <v>740</v>
      </c>
      <c r="C36" s="4" t="s">
        <v>741</v>
      </c>
      <c r="D36" s="4" t="s">
        <v>742</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651</v>
      </c>
    </row>
    <row r="37" spans="1:19" ht="70.2" customHeight="1" x14ac:dyDescent="0.3">
      <c r="A37" s="4" t="s">
        <v>743</v>
      </c>
      <c r="B37" s="4" t="s">
        <v>744</v>
      </c>
      <c r="C37" s="4" t="s">
        <v>745</v>
      </c>
      <c r="D37" s="4" t="s">
        <v>746</v>
      </c>
      <c r="E37" s="4" t="s">
        <v>74</v>
      </c>
      <c r="F37" s="4" t="s">
        <v>116</v>
      </c>
      <c r="G37" s="4" t="s">
        <v>93</v>
      </c>
      <c r="H37" s="4" t="s">
        <v>584</v>
      </c>
      <c r="I37" s="5">
        <v>1999976897</v>
      </c>
      <c r="J37" s="5">
        <v>612770516</v>
      </c>
      <c r="K37" s="5">
        <v>2612747413</v>
      </c>
      <c r="L37" s="6">
        <v>44078</v>
      </c>
      <c r="M37" s="6"/>
      <c r="N37" s="6">
        <v>44179</v>
      </c>
      <c r="O37" s="6">
        <v>44229</v>
      </c>
      <c r="P37" s="5">
        <v>65.69</v>
      </c>
      <c r="Q37" s="5">
        <v>76.930000000000007</v>
      </c>
      <c r="R37" s="4"/>
      <c r="S37" s="4" t="s">
        <v>747</v>
      </c>
    </row>
    <row r="38" spans="1:19" ht="70.2" customHeight="1" x14ac:dyDescent="0.3">
      <c r="A38" s="4" t="s">
        <v>748</v>
      </c>
      <c r="B38" s="4" t="s">
        <v>749</v>
      </c>
      <c r="C38" s="4" t="s">
        <v>750</v>
      </c>
      <c r="D38" s="4" t="s">
        <v>751</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752</v>
      </c>
    </row>
    <row r="39" spans="1:19" ht="70.2" customHeight="1" x14ac:dyDescent="0.3">
      <c r="A39" s="4" t="s">
        <v>753</v>
      </c>
      <c r="B39" s="4" t="s">
        <v>754</v>
      </c>
      <c r="C39" s="4" t="s">
        <v>755</v>
      </c>
      <c r="D39" s="4" t="s">
        <v>756</v>
      </c>
      <c r="E39" s="4" t="s">
        <v>74</v>
      </c>
      <c r="F39" s="4" t="s">
        <v>116</v>
      </c>
      <c r="G39" s="4" t="s">
        <v>93</v>
      </c>
      <c r="H39" s="4" t="s">
        <v>584</v>
      </c>
      <c r="I39" s="5">
        <v>1999833255</v>
      </c>
      <c r="J39" s="5">
        <v>948213920</v>
      </c>
      <c r="K39" s="5">
        <v>2948047175</v>
      </c>
      <c r="L39" s="6">
        <v>44078</v>
      </c>
      <c r="M39" s="6"/>
      <c r="N39" s="6">
        <v>44113</v>
      </c>
      <c r="O39" s="6">
        <v>44408</v>
      </c>
      <c r="P39" s="5">
        <v>99.95</v>
      </c>
      <c r="Q39" s="5">
        <v>99.96</v>
      </c>
      <c r="R39" s="4"/>
      <c r="S39" s="4" t="s">
        <v>757</v>
      </c>
    </row>
    <row r="40" spans="1:19" ht="70.2" customHeight="1" x14ac:dyDescent="0.3">
      <c r="A40" s="4" t="s">
        <v>758</v>
      </c>
      <c r="B40" s="4" t="s">
        <v>759</v>
      </c>
      <c r="C40" s="4" t="s">
        <v>760</v>
      </c>
      <c r="D40" s="4" t="s">
        <v>761</v>
      </c>
      <c r="E40" s="4" t="s">
        <v>74</v>
      </c>
      <c r="F40" s="4" t="s">
        <v>116</v>
      </c>
      <c r="G40" s="4" t="s">
        <v>61</v>
      </c>
      <c r="H40" s="4" t="s">
        <v>584</v>
      </c>
      <c r="I40" s="5">
        <v>6559568533</v>
      </c>
      <c r="J40" s="5">
        <v>288576987</v>
      </c>
      <c r="K40" s="5">
        <v>6848145520</v>
      </c>
      <c r="L40" s="6">
        <v>44159</v>
      </c>
      <c r="M40" s="6"/>
      <c r="N40" s="6">
        <v>44337</v>
      </c>
      <c r="O40" s="6">
        <v>44410</v>
      </c>
      <c r="P40" s="5">
        <v>100</v>
      </c>
      <c r="Q40" s="5">
        <v>98.42</v>
      </c>
      <c r="R40" s="4"/>
      <c r="S40" s="4" t="s">
        <v>97</v>
      </c>
    </row>
    <row r="41" spans="1:19" ht="70.2" customHeight="1" x14ac:dyDescent="0.3">
      <c r="A41" s="4" t="s">
        <v>762</v>
      </c>
      <c r="B41" s="4" t="s">
        <v>735</v>
      </c>
      <c r="C41" s="4" t="s">
        <v>763</v>
      </c>
      <c r="D41" s="4" t="s">
        <v>764</v>
      </c>
      <c r="E41" s="4" t="s">
        <v>74</v>
      </c>
      <c r="F41" s="4" t="s">
        <v>116</v>
      </c>
      <c r="G41" s="4" t="s">
        <v>93</v>
      </c>
      <c r="H41" s="4" t="s">
        <v>561</v>
      </c>
      <c r="I41" s="5">
        <v>1998890586.73</v>
      </c>
      <c r="J41" s="5">
        <v>899995425.88000011</v>
      </c>
      <c r="K41" s="5">
        <v>2898886012.6100001</v>
      </c>
      <c r="L41" s="6">
        <v>44078</v>
      </c>
      <c r="M41" s="6"/>
      <c r="N41" s="6">
        <v>44386</v>
      </c>
      <c r="O41" s="6">
        <v>44335</v>
      </c>
      <c r="P41" s="5">
        <v>98.23</v>
      </c>
      <c r="Q41" s="5">
        <v>98.28</v>
      </c>
      <c r="R41" s="4"/>
      <c r="S41" s="4" t="s">
        <v>765</v>
      </c>
    </row>
    <row r="42" spans="1:19" ht="70.2" customHeight="1" x14ac:dyDescent="0.3">
      <c r="A42" s="4" t="s">
        <v>766</v>
      </c>
      <c r="B42" s="4" t="s">
        <v>744</v>
      </c>
      <c r="C42" s="4" t="s">
        <v>767</v>
      </c>
      <c r="D42" s="4" t="s">
        <v>768</v>
      </c>
      <c r="E42" s="4" t="s">
        <v>74</v>
      </c>
      <c r="F42" s="4" t="s">
        <v>116</v>
      </c>
      <c r="G42" s="4" t="s">
        <v>230</v>
      </c>
      <c r="H42" s="4" t="s">
        <v>584</v>
      </c>
      <c r="I42" s="5">
        <v>5347795060</v>
      </c>
      <c r="J42" s="5">
        <v>1233838703</v>
      </c>
      <c r="K42" s="5">
        <v>6581633763</v>
      </c>
      <c r="L42" s="6">
        <v>43966</v>
      </c>
      <c r="M42" s="6"/>
      <c r="N42" s="6">
        <v>43978</v>
      </c>
      <c r="O42" s="6">
        <v>44097</v>
      </c>
      <c r="P42" s="5">
        <v>99.17</v>
      </c>
      <c r="Q42" s="5">
        <v>99.17</v>
      </c>
      <c r="R42" s="4"/>
      <c r="S42" s="4" t="s">
        <v>97</v>
      </c>
    </row>
    <row r="43" spans="1:19" ht="70.2" customHeight="1" x14ac:dyDescent="0.3">
      <c r="A43" s="4" t="s">
        <v>769</v>
      </c>
      <c r="B43" s="4" t="s">
        <v>700</v>
      </c>
      <c r="C43" s="4" t="s">
        <v>770</v>
      </c>
      <c r="D43" s="4" t="s">
        <v>771</v>
      </c>
      <c r="E43" s="4" t="s">
        <v>74</v>
      </c>
      <c r="F43" s="4" t="s">
        <v>116</v>
      </c>
      <c r="G43" s="4" t="s">
        <v>93</v>
      </c>
      <c r="H43" s="4" t="s">
        <v>584</v>
      </c>
      <c r="I43" s="5">
        <v>1965295196.9400001</v>
      </c>
      <c r="J43" s="5">
        <v>2166508826.73</v>
      </c>
      <c r="K43" s="5">
        <v>4131804023.6700001</v>
      </c>
      <c r="L43" s="6">
        <v>44078</v>
      </c>
      <c r="M43" s="6"/>
      <c r="N43" s="6"/>
      <c r="O43" s="6">
        <v>44421</v>
      </c>
      <c r="P43" s="5">
        <v>96.47</v>
      </c>
      <c r="Q43" s="5">
        <v>102.12</v>
      </c>
      <c r="R43" s="4"/>
      <c r="S43" s="4"/>
    </row>
    <row r="44" spans="1:19" ht="70.2" customHeight="1" x14ac:dyDescent="0.3">
      <c r="A44" s="4" t="s">
        <v>772</v>
      </c>
      <c r="B44" s="4" t="s">
        <v>744</v>
      </c>
      <c r="C44" s="4" t="s">
        <v>773</v>
      </c>
      <c r="D44" s="4" t="s">
        <v>774</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2" customHeight="1" x14ac:dyDescent="0.3">
      <c r="A45" s="4" t="s">
        <v>775</v>
      </c>
      <c r="B45" s="4" t="s">
        <v>776</v>
      </c>
      <c r="C45" s="4" t="s">
        <v>777</v>
      </c>
      <c r="D45" s="4" t="s">
        <v>778</v>
      </c>
      <c r="E45" s="4" t="s">
        <v>74</v>
      </c>
      <c r="F45" s="4" t="s">
        <v>116</v>
      </c>
      <c r="G45" s="4" t="s">
        <v>61</v>
      </c>
      <c r="H45" s="4" t="s">
        <v>584</v>
      </c>
      <c r="I45" s="5">
        <v>1349000868</v>
      </c>
      <c r="J45" s="5">
        <v>60240000</v>
      </c>
      <c r="K45" s="5">
        <v>1409240868</v>
      </c>
      <c r="L45" s="6">
        <v>44111</v>
      </c>
      <c r="M45" s="6"/>
      <c r="N45" s="6">
        <v>44568</v>
      </c>
      <c r="O45" s="6">
        <v>44594</v>
      </c>
      <c r="P45" s="5">
        <v>100</v>
      </c>
      <c r="Q45" s="5">
        <v>90.65</v>
      </c>
      <c r="R45" s="4"/>
      <c r="S45" s="4" t="s">
        <v>97</v>
      </c>
    </row>
    <row r="46" spans="1:19" ht="70.2" customHeight="1" x14ac:dyDescent="0.3">
      <c r="A46" s="4" t="s">
        <v>779</v>
      </c>
      <c r="B46" s="4" t="s">
        <v>780</v>
      </c>
      <c r="C46" s="4" t="s">
        <v>781</v>
      </c>
      <c r="D46" s="4" t="s">
        <v>782</v>
      </c>
      <c r="E46" s="4" t="s">
        <v>74</v>
      </c>
      <c r="F46" s="4" t="s">
        <v>116</v>
      </c>
      <c r="G46" s="4" t="s">
        <v>61</v>
      </c>
      <c r="H46" s="4" t="s">
        <v>584</v>
      </c>
      <c r="I46" s="5">
        <v>3106000000</v>
      </c>
      <c r="J46" s="5">
        <v>50000000</v>
      </c>
      <c r="K46" s="5">
        <v>3156000000</v>
      </c>
      <c r="L46" s="6">
        <v>44159</v>
      </c>
      <c r="M46" s="6"/>
      <c r="N46" s="6">
        <v>44235</v>
      </c>
      <c r="O46" s="6">
        <v>44327</v>
      </c>
      <c r="P46" s="5">
        <v>100</v>
      </c>
      <c r="Q46" s="5">
        <v>93.32</v>
      </c>
      <c r="R46" s="4"/>
      <c r="S46" s="4" t="s">
        <v>69</v>
      </c>
    </row>
    <row r="47" spans="1:19" ht="70.2" customHeight="1" x14ac:dyDescent="0.3">
      <c r="A47" s="4" t="s">
        <v>783</v>
      </c>
      <c r="B47" s="4" t="s">
        <v>681</v>
      </c>
      <c r="C47" s="4" t="s">
        <v>784</v>
      </c>
      <c r="D47" s="4" t="s">
        <v>785</v>
      </c>
      <c r="E47" s="4" t="s">
        <v>74</v>
      </c>
      <c r="F47" s="4" t="s">
        <v>116</v>
      </c>
      <c r="G47" s="4" t="s">
        <v>61</v>
      </c>
      <c r="H47" s="4" t="s">
        <v>561</v>
      </c>
      <c r="I47" s="5">
        <v>8995267958.5699997</v>
      </c>
      <c r="J47" s="5">
        <v>182146495.4899998</v>
      </c>
      <c r="K47" s="5">
        <v>9177414454.0599995</v>
      </c>
      <c r="L47" s="6">
        <v>44159</v>
      </c>
      <c r="M47" s="6"/>
      <c r="N47" s="6">
        <v>44263</v>
      </c>
      <c r="O47" s="6">
        <v>44365</v>
      </c>
      <c r="P47" s="5">
        <v>100</v>
      </c>
      <c r="Q47" s="5">
        <v>100</v>
      </c>
      <c r="R47" s="4"/>
      <c r="S47" s="4" t="s">
        <v>786</v>
      </c>
    </row>
    <row r="48" spans="1:19" ht="70.2" customHeight="1" x14ac:dyDescent="0.3">
      <c r="A48" s="4" t="s">
        <v>787</v>
      </c>
      <c r="B48" s="4" t="s">
        <v>788</v>
      </c>
      <c r="C48" s="4" t="s">
        <v>789</v>
      </c>
      <c r="D48" s="4" t="s">
        <v>790</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651</v>
      </c>
    </row>
    <row r="49" spans="1:19" ht="70.2" customHeight="1" x14ac:dyDescent="0.3">
      <c r="A49" s="4" t="s">
        <v>791</v>
      </c>
      <c r="B49" s="4" t="s">
        <v>754</v>
      </c>
      <c r="C49" s="4" t="s">
        <v>792</v>
      </c>
      <c r="D49" s="4" t="s">
        <v>793</v>
      </c>
      <c r="E49" s="4" t="s">
        <v>74</v>
      </c>
      <c r="F49" s="4" t="s">
        <v>116</v>
      </c>
      <c r="G49" s="4" t="s">
        <v>93</v>
      </c>
      <c r="H49" s="4" t="s">
        <v>584</v>
      </c>
      <c r="I49" s="5">
        <v>1998157618.8800001</v>
      </c>
      <c r="J49" s="5">
        <v>469735103.82999992</v>
      </c>
      <c r="K49" s="5">
        <v>2467892722.71</v>
      </c>
      <c r="L49" s="6">
        <v>44159</v>
      </c>
      <c r="M49" s="6"/>
      <c r="N49" s="6">
        <v>44259</v>
      </c>
      <c r="O49" s="6">
        <v>44567</v>
      </c>
      <c r="P49" s="5">
        <v>98.06</v>
      </c>
      <c r="Q49" s="5">
        <v>98.13</v>
      </c>
      <c r="R49" s="4"/>
      <c r="S49" s="4" t="s">
        <v>794</v>
      </c>
    </row>
    <row r="50" spans="1:19" ht="70.2" customHeight="1" x14ac:dyDescent="0.3">
      <c r="A50" s="4" t="s">
        <v>795</v>
      </c>
      <c r="B50" s="4" t="s">
        <v>663</v>
      </c>
      <c r="C50" s="4" t="s">
        <v>796</v>
      </c>
      <c r="D50" s="4" t="s">
        <v>797</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798</v>
      </c>
    </row>
    <row r="51" spans="1:19" ht="70.2" customHeight="1" x14ac:dyDescent="0.3">
      <c r="A51" s="4" t="s">
        <v>799</v>
      </c>
      <c r="B51" s="4" t="s">
        <v>800</v>
      </c>
      <c r="C51" s="4" t="s">
        <v>801</v>
      </c>
      <c r="D51" s="4" t="s">
        <v>802</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661</v>
      </c>
    </row>
    <row r="52" spans="1:19" ht="70.2" customHeight="1" x14ac:dyDescent="0.3">
      <c r="A52" s="4" t="s">
        <v>803</v>
      </c>
      <c r="B52" s="4" t="s">
        <v>754</v>
      </c>
      <c r="C52" s="4" t="s">
        <v>804</v>
      </c>
      <c r="D52" s="4" t="s">
        <v>805</v>
      </c>
      <c r="E52" s="4" t="s">
        <v>74</v>
      </c>
      <c r="F52" s="4" t="s">
        <v>116</v>
      </c>
      <c r="G52" s="4" t="s">
        <v>93</v>
      </c>
      <c r="H52" s="4" t="s">
        <v>584</v>
      </c>
      <c r="I52" s="5">
        <v>4940449374</v>
      </c>
      <c r="J52" s="5">
        <v>263481086</v>
      </c>
      <c r="K52" s="5">
        <v>5203930460</v>
      </c>
      <c r="L52" s="6">
        <v>44432</v>
      </c>
      <c r="M52" s="6"/>
      <c r="N52" s="6">
        <v>44480</v>
      </c>
      <c r="O52" s="6">
        <v>44517</v>
      </c>
      <c r="P52" s="5">
        <v>99.7</v>
      </c>
      <c r="Q52" s="5">
        <v>99.91</v>
      </c>
      <c r="R52" s="4"/>
      <c r="S52" s="4" t="s">
        <v>806</v>
      </c>
    </row>
    <row r="53" spans="1:19" ht="70.2" customHeight="1" x14ac:dyDescent="0.3">
      <c r="A53" s="4" t="s">
        <v>807</v>
      </c>
      <c r="B53" s="4" t="s">
        <v>663</v>
      </c>
      <c r="C53" s="4" t="s">
        <v>808</v>
      </c>
      <c r="D53" s="4" t="s">
        <v>809</v>
      </c>
      <c r="E53" s="4" t="s">
        <v>74</v>
      </c>
      <c r="F53" s="4" t="s">
        <v>116</v>
      </c>
      <c r="G53" s="4" t="s">
        <v>61</v>
      </c>
      <c r="H53" s="4" t="s">
        <v>561</v>
      </c>
      <c r="I53" s="5">
        <v>1999924866</v>
      </c>
      <c r="J53" s="5">
        <v>1559283349</v>
      </c>
      <c r="K53" s="5">
        <v>3559208215</v>
      </c>
      <c r="L53" s="6">
        <v>44159</v>
      </c>
      <c r="M53" s="6"/>
      <c r="N53" s="6">
        <v>44246</v>
      </c>
      <c r="O53" s="6">
        <v>44341</v>
      </c>
      <c r="P53" s="5">
        <v>100.03</v>
      </c>
      <c r="Q53" s="5">
        <v>87.3</v>
      </c>
      <c r="R53" s="4"/>
      <c r="S53" s="4" t="s">
        <v>810</v>
      </c>
    </row>
    <row r="54" spans="1:19" ht="70.2" customHeight="1" x14ac:dyDescent="0.3">
      <c r="A54" s="4" t="s">
        <v>811</v>
      </c>
      <c r="B54" s="4" t="s">
        <v>663</v>
      </c>
      <c r="C54" s="4" t="s">
        <v>812</v>
      </c>
      <c r="D54" s="4" t="s">
        <v>813</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666</v>
      </c>
    </row>
    <row r="55" spans="1:19" ht="70.2" customHeight="1" x14ac:dyDescent="0.3">
      <c r="A55" s="4" t="s">
        <v>814</v>
      </c>
      <c r="B55" s="4" t="s">
        <v>663</v>
      </c>
      <c r="C55" s="4" t="s">
        <v>815</v>
      </c>
      <c r="D55" s="4" t="s">
        <v>816</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817</v>
      </c>
    </row>
    <row r="56" spans="1:19" ht="70.2" customHeight="1" x14ac:dyDescent="0.3">
      <c r="A56" s="4" t="s">
        <v>818</v>
      </c>
      <c r="B56" s="4" t="s">
        <v>754</v>
      </c>
      <c r="C56" s="4" t="s">
        <v>819</v>
      </c>
      <c r="D56" s="4" t="s">
        <v>820</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821</v>
      </c>
    </row>
    <row r="57" spans="1:19" ht="70.2" customHeight="1" x14ac:dyDescent="0.3">
      <c r="A57" s="4" t="s">
        <v>822</v>
      </c>
      <c r="B57" s="4" t="s">
        <v>823</v>
      </c>
      <c r="C57" s="4" t="s">
        <v>824</v>
      </c>
      <c r="D57" s="4" t="s">
        <v>825</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698</v>
      </c>
    </row>
    <row r="58" spans="1:19" ht="70.2" customHeight="1" x14ac:dyDescent="0.3">
      <c r="A58" s="4" t="s">
        <v>826</v>
      </c>
      <c r="B58" s="4" t="s">
        <v>700</v>
      </c>
      <c r="C58" s="4" t="s">
        <v>827</v>
      </c>
      <c r="D58" s="4" t="s">
        <v>828</v>
      </c>
      <c r="E58" s="4" t="s">
        <v>74</v>
      </c>
      <c r="F58" s="4" t="s">
        <v>116</v>
      </c>
      <c r="G58" s="4" t="s">
        <v>61</v>
      </c>
      <c r="H58" s="4" t="s">
        <v>584</v>
      </c>
      <c r="I58" s="5">
        <v>1999803848</v>
      </c>
      <c r="J58" s="5">
        <v>1394426448</v>
      </c>
      <c r="K58" s="5">
        <v>3394230296</v>
      </c>
      <c r="L58" s="6">
        <v>44159</v>
      </c>
      <c r="M58" s="6"/>
      <c r="N58" s="6">
        <v>44320</v>
      </c>
      <c r="O58" s="6">
        <v>44467</v>
      </c>
      <c r="P58" s="5">
        <v>99.71</v>
      </c>
      <c r="Q58" s="5">
        <v>100.53</v>
      </c>
      <c r="R58" s="4"/>
      <c r="S58" s="4" t="s">
        <v>829</v>
      </c>
    </row>
    <row r="59" spans="1:19" ht="70.2" customHeight="1" x14ac:dyDescent="0.3">
      <c r="A59" s="4" t="s">
        <v>830</v>
      </c>
      <c r="B59" s="4" t="s">
        <v>735</v>
      </c>
      <c r="C59" s="4" t="s">
        <v>831</v>
      </c>
      <c r="D59" s="4" t="s">
        <v>832</v>
      </c>
      <c r="E59" s="4" t="s">
        <v>74</v>
      </c>
      <c r="F59" s="4" t="s">
        <v>116</v>
      </c>
      <c r="G59" s="4" t="s">
        <v>93</v>
      </c>
      <c r="H59" s="4" t="s">
        <v>561</v>
      </c>
      <c r="I59" s="5">
        <v>1738785560</v>
      </c>
      <c r="J59" s="5">
        <v>607572471</v>
      </c>
      <c r="K59" s="5">
        <v>2346358031</v>
      </c>
      <c r="L59" s="6">
        <v>44159</v>
      </c>
      <c r="M59" s="6"/>
      <c r="N59" s="6">
        <v>44309</v>
      </c>
      <c r="O59" s="6">
        <v>44337</v>
      </c>
      <c r="P59" s="5">
        <v>61.77</v>
      </c>
      <c r="Q59" s="5">
        <v>61.03</v>
      </c>
      <c r="R59" s="4"/>
      <c r="S59" s="4" t="s">
        <v>97</v>
      </c>
    </row>
    <row r="60" spans="1:19" ht="70.2" customHeight="1" x14ac:dyDescent="0.3">
      <c r="A60" s="4" t="s">
        <v>833</v>
      </c>
      <c r="B60" s="4" t="s">
        <v>663</v>
      </c>
      <c r="C60" s="4" t="s">
        <v>834</v>
      </c>
      <c r="D60" s="4" t="s">
        <v>835</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836</v>
      </c>
    </row>
    <row r="61" spans="1:19" ht="70.2" customHeight="1" x14ac:dyDescent="0.3">
      <c r="A61" s="4" t="s">
        <v>837</v>
      </c>
      <c r="B61" s="4" t="s">
        <v>838</v>
      </c>
      <c r="C61" s="4" t="s">
        <v>839</v>
      </c>
      <c r="D61" s="4" t="s">
        <v>840</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651</v>
      </c>
    </row>
    <row r="62" spans="1:19" ht="70.2" customHeight="1" x14ac:dyDescent="0.3">
      <c r="A62" s="4" t="s">
        <v>841</v>
      </c>
      <c r="B62" s="4" t="s">
        <v>744</v>
      </c>
      <c r="C62" s="4" t="s">
        <v>842</v>
      </c>
      <c r="D62" s="4" t="s">
        <v>843</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2" customHeight="1" x14ac:dyDescent="0.3">
      <c r="A63" s="4" t="s">
        <v>844</v>
      </c>
      <c r="B63" s="4" t="s">
        <v>845</v>
      </c>
      <c r="C63" s="4" t="s">
        <v>846</v>
      </c>
      <c r="D63" s="4" t="s">
        <v>847</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698</v>
      </c>
    </row>
    <row r="64" spans="1:19" ht="70.2" customHeight="1" x14ac:dyDescent="0.3">
      <c r="A64" s="4" t="s">
        <v>848</v>
      </c>
      <c r="B64" s="4" t="s">
        <v>587</v>
      </c>
      <c r="C64" s="4" t="s">
        <v>849</v>
      </c>
      <c r="D64" s="4" t="s">
        <v>850</v>
      </c>
      <c r="E64" s="4" t="s">
        <v>102</v>
      </c>
      <c r="F64" s="4" t="s">
        <v>851</v>
      </c>
      <c r="G64" s="4" t="s">
        <v>93</v>
      </c>
      <c r="H64" s="4" t="s">
        <v>530</v>
      </c>
      <c r="I64" s="5">
        <v>69047758069</v>
      </c>
      <c r="J64" s="5">
        <v>0</v>
      </c>
      <c r="K64" s="5">
        <v>69047758069</v>
      </c>
      <c r="L64" s="6">
        <v>44551</v>
      </c>
      <c r="M64" s="6"/>
      <c r="N64" s="6">
        <v>44652</v>
      </c>
      <c r="O64" s="6">
        <v>44810</v>
      </c>
      <c r="P64" s="5">
        <v>93.54</v>
      </c>
      <c r="Q64" s="5">
        <v>94.51</v>
      </c>
      <c r="R64" s="4"/>
      <c r="S64" s="4" t="s">
        <v>852</v>
      </c>
    </row>
    <row r="65" spans="1:19" ht="70.2" customHeight="1" x14ac:dyDescent="0.3">
      <c r="A65" s="4" t="s">
        <v>853</v>
      </c>
      <c r="B65" s="4" t="s">
        <v>668</v>
      </c>
      <c r="C65" s="4" t="s">
        <v>854</v>
      </c>
      <c r="D65" s="4" t="s">
        <v>855</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856</v>
      </c>
    </row>
    <row r="66" spans="1:19" ht="70.2" customHeight="1" x14ac:dyDescent="0.3">
      <c r="A66" s="4" t="s">
        <v>857</v>
      </c>
      <c r="B66" s="4" t="s">
        <v>653</v>
      </c>
      <c r="C66" s="4" t="s">
        <v>858</v>
      </c>
      <c r="D66" s="4" t="s">
        <v>859</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656</v>
      </c>
    </row>
    <row r="67" spans="1:19" ht="70.2" customHeight="1" x14ac:dyDescent="0.3">
      <c r="A67" s="4" t="s">
        <v>860</v>
      </c>
      <c r="B67" s="4" t="s">
        <v>754</v>
      </c>
      <c r="C67" s="4" t="s">
        <v>861</v>
      </c>
      <c r="D67" s="4" t="s">
        <v>862</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863</v>
      </c>
    </row>
    <row r="68" spans="1:19" ht="70.2" customHeight="1" x14ac:dyDescent="0.3">
      <c r="A68" s="4" t="s">
        <v>864</v>
      </c>
      <c r="B68" s="4" t="s">
        <v>681</v>
      </c>
      <c r="C68" s="4" t="s">
        <v>865</v>
      </c>
      <c r="D68" s="4" t="s">
        <v>866</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651</v>
      </c>
    </row>
    <row r="69" spans="1:19" ht="70.2" customHeight="1" x14ac:dyDescent="0.3">
      <c r="A69" s="4" t="s">
        <v>867</v>
      </c>
      <c r="B69" s="4" t="s">
        <v>690</v>
      </c>
      <c r="C69" s="4" t="s">
        <v>868</v>
      </c>
      <c r="D69" s="4" t="s">
        <v>869</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666</v>
      </c>
    </row>
    <row r="70" spans="1:19" ht="70.2" customHeight="1" x14ac:dyDescent="0.3">
      <c r="A70" s="4" t="s">
        <v>870</v>
      </c>
      <c r="B70" s="4" t="s">
        <v>871</v>
      </c>
      <c r="C70" s="4" t="s">
        <v>872</v>
      </c>
      <c r="D70" s="4" t="s">
        <v>873</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874</v>
      </c>
    </row>
    <row r="71" spans="1:19" ht="70.2" customHeight="1" x14ac:dyDescent="0.3">
      <c r="A71" s="4" t="s">
        <v>875</v>
      </c>
      <c r="B71" s="4" t="s">
        <v>754</v>
      </c>
      <c r="C71" s="4" t="s">
        <v>876</v>
      </c>
      <c r="D71" s="4" t="s">
        <v>877</v>
      </c>
      <c r="E71" s="4" t="s">
        <v>74</v>
      </c>
      <c r="F71" s="4" t="s">
        <v>116</v>
      </c>
      <c r="G71" s="4" t="s">
        <v>93</v>
      </c>
      <c r="H71" s="4" t="s">
        <v>584</v>
      </c>
      <c r="I71" s="5">
        <v>1999667231.96</v>
      </c>
      <c r="J71" s="5">
        <v>1036153791.2</v>
      </c>
      <c r="K71" s="5">
        <v>3035821023.1599998</v>
      </c>
      <c r="L71" s="6">
        <v>44537</v>
      </c>
      <c r="M71" s="6"/>
      <c r="N71" s="6">
        <v>44606</v>
      </c>
      <c r="O71" s="6">
        <v>44721</v>
      </c>
      <c r="P71" s="5">
        <v>91.99</v>
      </c>
      <c r="Q71" s="5">
        <v>98.96</v>
      </c>
      <c r="R71" s="4"/>
      <c r="S71" s="4" t="s">
        <v>878</v>
      </c>
    </row>
    <row r="72" spans="1:19" ht="70.2" customHeight="1" x14ac:dyDescent="0.3">
      <c r="A72" s="4" t="s">
        <v>879</v>
      </c>
      <c r="B72" s="4" t="s">
        <v>754</v>
      </c>
      <c r="C72" s="4" t="s">
        <v>880</v>
      </c>
      <c r="D72" s="4" t="s">
        <v>881</v>
      </c>
      <c r="E72" s="4" t="s">
        <v>74</v>
      </c>
      <c r="F72" s="4" t="s">
        <v>116</v>
      </c>
      <c r="G72" s="4" t="s">
        <v>230</v>
      </c>
      <c r="H72" s="4" t="s">
        <v>882</v>
      </c>
      <c r="I72" s="5">
        <v>2000000000</v>
      </c>
      <c r="J72" s="5">
        <v>896725569</v>
      </c>
      <c r="K72" s="5">
        <v>2896725569</v>
      </c>
      <c r="L72" s="6">
        <v>44537</v>
      </c>
      <c r="M72" s="6"/>
      <c r="N72" s="6">
        <v>44606</v>
      </c>
      <c r="O72" s="6">
        <v>44740</v>
      </c>
      <c r="P72" s="5">
        <v>100.01</v>
      </c>
      <c r="Q72" s="5">
        <v>99.66</v>
      </c>
      <c r="R72" s="4"/>
      <c r="S72" s="4" t="s">
        <v>883</v>
      </c>
    </row>
    <row r="73" spans="1:19" ht="70.2" customHeight="1" x14ac:dyDescent="0.3">
      <c r="A73" s="4" t="s">
        <v>884</v>
      </c>
      <c r="B73" s="4" t="s">
        <v>700</v>
      </c>
      <c r="C73" s="4" t="s">
        <v>885</v>
      </c>
      <c r="D73" s="4" t="s">
        <v>886</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2" customHeight="1" x14ac:dyDescent="0.3">
      <c r="A74" s="4" t="s">
        <v>887</v>
      </c>
      <c r="B74" s="4" t="s">
        <v>663</v>
      </c>
      <c r="C74" s="4" t="s">
        <v>888</v>
      </c>
      <c r="D74" s="4" t="s">
        <v>889</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2" customHeight="1" x14ac:dyDescent="0.3">
      <c r="A75" s="4" t="s">
        <v>890</v>
      </c>
      <c r="B75" s="4" t="s">
        <v>663</v>
      </c>
      <c r="C75" s="4" t="s">
        <v>891</v>
      </c>
      <c r="D75" s="4" t="s">
        <v>892</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893</v>
      </c>
    </row>
    <row r="76" spans="1:19" ht="70.2" customHeight="1" x14ac:dyDescent="0.3">
      <c r="A76" s="4" t="s">
        <v>894</v>
      </c>
      <c r="B76" s="4" t="s">
        <v>631</v>
      </c>
      <c r="C76" s="4" t="s">
        <v>895</v>
      </c>
      <c r="D76" s="4" t="s">
        <v>896</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897</v>
      </c>
    </row>
    <row r="77" spans="1:19" ht="70.2" customHeight="1" x14ac:dyDescent="0.3">
      <c r="A77" s="4" t="s">
        <v>898</v>
      </c>
      <c r="B77" s="4" t="s">
        <v>899</v>
      </c>
      <c r="C77" s="4" t="s">
        <v>900</v>
      </c>
      <c r="D77" s="4"/>
      <c r="E77" s="4" t="s">
        <v>102</v>
      </c>
      <c r="F77" s="4" t="s">
        <v>901</v>
      </c>
      <c r="G77" s="4" t="s">
        <v>373</v>
      </c>
      <c r="H77" s="4" t="s">
        <v>577</v>
      </c>
      <c r="I77" s="5">
        <v>2407058486</v>
      </c>
      <c r="J77" s="5">
        <v>216768.82000017169</v>
      </c>
      <c r="K77" s="5">
        <v>2407275254.8200002</v>
      </c>
      <c r="L77" s="6">
        <v>44844</v>
      </c>
      <c r="M77" s="6"/>
      <c r="N77" s="6"/>
      <c r="O77" s="6"/>
      <c r="P77" s="5">
        <v>0</v>
      </c>
      <c r="Q77" s="5">
        <v>0</v>
      </c>
      <c r="R77" s="4"/>
      <c r="S77" s="4" t="s">
        <v>140</v>
      </c>
    </row>
    <row r="78" spans="1:19" ht="70.2" customHeight="1" x14ac:dyDescent="0.3">
      <c r="A78" s="4" t="s">
        <v>902</v>
      </c>
      <c r="B78" s="4" t="s">
        <v>631</v>
      </c>
      <c r="C78" s="4" t="s">
        <v>903</v>
      </c>
      <c r="D78" s="4" t="s">
        <v>904</v>
      </c>
      <c r="E78" s="4" t="s">
        <v>102</v>
      </c>
      <c r="F78" s="4" t="s">
        <v>905</v>
      </c>
      <c r="G78" s="4" t="s">
        <v>93</v>
      </c>
      <c r="H78" s="4" t="s">
        <v>524</v>
      </c>
      <c r="I78" s="5">
        <v>45601872749</v>
      </c>
      <c r="J78" s="5">
        <v>0</v>
      </c>
      <c r="K78" s="5">
        <v>45601872749</v>
      </c>
      <c r="L78" s="6">
        <v>44560</v>
      </c>
      <c r="M78" s="6"/>
      <c r="N78" s="6">
        <v>44559</v>
      </c>
      <c r="O78" s="6">
        <v>44669</v>
      </c>
      <c r="P78" s="5">
        <v>86.14</v>
      </c>
      <c r="Q78" s="5">
        <v>92.14</v>
      </c>
      <c r="R78" s="4"/>
      <c r="S78" s="4" t="s">
        <v>897</v>
      </c>
    </row>
    <row r="79" spans="1:19" ht="70.2" customHeight="1" x14ac:dyDescent="0.3">
      <c r="A79" s="4" t="s">
        <v>906</v>
      </c>
      <c r="B79" s="4" t="s">
        <v>907</v>
      </c>
      <c r="C79" s="4" t="s">
        <v>908</v>
      </c>
      <c r="D79" s="4" t="s">
        <v>909</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2" customHeight="1" x14ac:dyDescent="0.3">
      <c r="A80" s="4" t="s">
        <v>910</v>
      </c>
      <c r="B80" s="4" t="s">
        <v>911</v>
      </c>
      <c r="C80" s="4" t="s">
        <v>912</v>
      </c>
      <c r="D80" s="4" t="s">
        <v>913</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2" customHeight="1" x14ac:dyDescent="0.3">
      <c r="A81" s="4" t="s">
        <v>914</v>
      </c>
      <c r="B81" s="4" t="s">
        <v>907</v>
      </c>
      <c r="C81" s="4" t="s">
        <v>915</v>
      </c>
      <c r="D81" s="4" t="s">
        <v>916</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2" customHeight="1" x14ac:dyDescent="0.3">
      <c r="A82" s="4" t="s">
        <v>917</v>
      </c>
      <c r="B82" s="4" t="s">
        <v>663</v>
      </c>
      <c r="C82" s="4" t="s">
        <v>918</v>
      </c>
      <c r="D82" s="4" t="s">
        <v>919</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2" customHeight="1" x14ac:dyDescent="0.3">
      <c r="A83" s="4" t="s">
        <v>920</v>
      </c>
      <c r="B83" s="4" t="s">
        <v>921</v>
      </c>
      <c r="C83" s="4" t="s">
        <v>922</v>
      </c>
      <c r="D83" s="4" t="s">
        <v>923</v>
      </c>
      <c r="E83" s="4" t="s">
        <v>74</v>
      </c>
      <c r="F83" s="4" t="s">
        <v>116</v>
      </c>
      <c r="G83" s="4" t="s">
        <v>61</v>
      </c>
      <c r="H83" s="4" t="s">
        <v>584</v>
      </c>
      <c r="I83" s="5">
        <v>500000000</v>
      </c>
      <c r="J83" s="5">
        <v>85470000</v>
      </c>
      <c r="K83" s="5">
        <v>585470000</v>
      </c>
      <c r="L83" s="6">
        <v>44887</v>
      </c>
      <c r="M83" s="6"/>
      <c r="N83" s="6">
        <v>44930</v>
      </c>
      <c r="O83" s="6">
        <v>44986</v>
      </c>
      <c r="P83" s="5">
        <v>100</v>
      </c>
      <c r="Q83" s="5">
        <v>95.06</v>
      </c>
      <c r="R83" s="4"/>
      <c r="S83" s="4" t="s">
        <v>97</v>
      </c>
    </row>
    <row r="84" spans="1:19" ht="70.2" customHeight="1" x14ac:dyDescent="0.3">
      <c r="A84" s="4" t="s">
        <v>924</v>
      </c>
      <c r="B84" s="4" t="s">
        <v>925</v>
      </c>
      <c r="C84" s="4" t="s">
        <v>926</v>
      </c>
      <c r="D84" s="4" t="s">
        <v>927</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2" customHeight="1" x14ac:dyDescent="0.3">
      <c r="A85" s="4" t="s">
        <v>928</v>
      </c>
      <c r="B85" s="4" t="s">
        <v>929</v>
      </c>
      <c r="C85" s="4" t="s">
        <v>930</v>
      </c>
      <c r="D85" s="4" t="s">
        <v>931</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2" customHeight="1" x14ac:dyDescent="0.3">
      <c r="A86" s="4" t="s">
        <v>932</v>
      </c>
      <c r="B86" s="4" t="s">
        <v>933</v>
      </c>
      <c r="C86" s="4" t="s">
        <v>934</v>
      </c>
      <c r="D86" s="4" t="s">
        <v>935</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936</v>
      </c>
    </row>
    <row r="87" spans="1:19" ht="70.2" customHeight="1" x14ac:dyDescent="0.3">
      <c r="A87" s="4" t="s">
        <v>937</v>
      </c>
      <c r="B87" s="4" t="s">
        <v>938</v>
      </c>
      <c r="C87" s="4" t="s">
        <v>939</v>
      </c>
      <c r="D87" s="4" t="s">
        <v>940</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2" customHeight="1" x14ac:dyDescent="0.3">
      <c r="A88" s="4" t="s">
        <v>941</v>
      </c>
      <c r="B88" s="4" t="s">
        <v>942</v>
      </c>
      <c r="C88" s="4" t="s">
        <v>943</v>
      </c>
      <c r="D88" s="4" t="s">
        <v>944</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945</v>
      </c>
    </row>
    <row r="89" spans="1:19" ht="70.2" customHeight="1" x14ac:dyDescent="0.3">
      <c r="A89" s="4" t="s">
        <v>946</v>
      </c>
      <c r="B89" s="4" t="s">
        <v>947</v>
      </c>
      <c r="C89" s="4" t="s">
        <v>948</v>
      </c>
      <c r="D89" s="4" t="s">
        <v>949</v>
      </c>
      <c r="E89" s="4" t="s">
        <v>388</v>
      </c>
      <c r="F89" s="4" t="s">
        <v>950</v>
      </c>
      <c r="G89" s="4" t="s">
        <v>93</v>
      </c>
      <c r="H89" s="4" t="s">
        <v>524</v>
      </c>
      <c r="I89" s="5">
        <v>94461519789</v>
      </c>
      <c r="J89" s="5">
        <v>0</v>
      </c>
      <c r="K89" s="5">
        <v>94461519789</v>
      </c>
      <c r="L89" s="6">
        <v>45290</v>
      </c>
      <c r="M89" s="6"/>
      <c r="N89" s="6">
        <v>45369</v>
      </c>
      <c r="O89" s="6">
        <v>45539</v>
      </c>
      <c r="P89" s="5">
        <v>77.47</v>
      </c>
      <c r="Q89" s="5">
        <v>92.23</v>
      </c>
      <c r="R89" s="4"/>
      <c r="S89" s="4" t="s">
        <v>285</v>
      </c>
    </row>
    <row r="90" spans="1:19" ht="70.2" customHeight="1" x14ac:dyDescent="0.3">
      <c r="A90" s="4" t="s">
        <v>951</v>
      </c>
      <c r="B90" s="4" t="s">
        <v>744</v>
      </c>
      <c r="C90" s="4" t="s">
        <v>952</v>
      </c>
      <c r="D90" s="4" t="s">
        <v>953</v>
      </c>
      <c r="E90" s="4" t="s">
        <v>74</v>
      </c>
      <c r="F90" s="4" t="s">
        <v>954</v>
      </c>
      <c r="G90" s="4" t="s">
        <v>93</v>
      </c>
      <c r="H90" s="4" t="s">
        <v>524</v>
      </c>
      <c r="I90" s="5">
        <v>3362968761</v>
      </c>
      <c r="J90" s="5">
        <v>1180580884</v>
      </c>
      <c r="K90" s="5">
        <v>4543549645</v>
      </c>
      <c r="L90" s="6">
        <v>45596</v>
      </c>
      <c r="M90" s="6"/>
      <c r="N90" s="6">
        <v>45649</v>
      </c>
      <c r="O90" s="6">
        <v>45721</v>
      </c>
      <c r="P90" s="5">
        <v>23.04</v>
      </c>
      <c r="Q90" s="5">
        <v>22.96</v>
      </c>
      <c r="R90" s="4"/>
      <c r="S90" s="4" t="s">
        <v>955</v>
      </c>
    </row>
    <row r="91" spans="1:19" ht="70.2" customHeight="1" x14ac:dyDescent="0.3">
      <c r="A91" s="4" t="s">
        <v>956</v>
      </c>
      <c r="B91" s="4" t="s">
        <v>838</v>
      </c>
      <c r="C91" s="4" t="s">
        <v>957</v>
      </c>
      <c r="D91" s="4" t="s">
        <v>958</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2" customHeight="1" x14ac:dyDescent="0.3">
      <c r="A92" s="4" t="s">
        <v>959</v>
      </c>
      <c r="B92" s="4" t="s">
        <v>648</v>
      </c>
      <c r="C92" s="4" t="s">
        <v>960</v>
      </c>
      <c r="D92" s="4" t="s">
        <v>961</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2" customHeight="1" x14ac:dyDescent="0.3">
      <c r="A93" s="4" t="s">
        <v>962</v>
      </c>
      <c r="B93" s="4" t="s">
        <v>754</v>
      </c>
      <c r="C93" s="4" t="s">
        <v>963</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2" customHeight="1" x14ac:dyDescent="0.3">
      <c r="A94" s="4" t="s">
        <v>964</v>
      </c>
      <c r="B94" s="4" t="s">
        <v>965</v>
      </c>
      <c r="C94" s="4" t="s">
        <v>966</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2" customHeight="1" x14ac:dyDescent="0.3">
      <c r="A95" s="4" t="s">
        <v>967</v>
      </c>
      <c r="B95" s="4" t="s">
        <v>968</v>
      </c>
      <c r="C95" s="4" t="s">
        <v>969</v>
      </c>
      <c r="D95" s="4" t="s">
        <v>970</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971</v>
      </c>
    </row>
    <row r="96" spans="1:19" ht="70.2" customHeight="1" x14ac:dyDescent="0.3">
      <c r="A96" s="4" t="s">
        <v>972</v>
      </c>
      <c r="B96" s="4" t="s">
        <v>973</v>
      </c>
      <c r="C96" s="4" t="s">
        <v>974</v>
      </c>
      <c r="D96" s="4"/>
      <c r="E96" s="4" t="s">
        <v>307</v>
      </c>
      <c r="F96" s="4" t="s">
        <v>238</v>
      </c>
      <c r="G96" s="4" t="s">
        <v>373</v>
      </c>
      <c r="H96" s="4" t="s">
        <v>577</v>
      </c>
      <c r="I96" s="5">
        <v>386045990.94</v>
      </c>
      <c r="J96" s="5">
        <v>200000000.00000009</v>
      </c>
      <c r="K96" s="5">
        <v>586045990.94000006</v>
      </c>
      <c r="L96" s="6">
        <v>45917</v>
      </c>
      <c r="M96" s="6"/>
      <c r="N96" s="6">
        <v>45938</v>
      </c>
      <c r="O96" s="6"/>
      <c r="P96" s="5">
        <v>0</v>
      </c>
      <c r="Q96" s="5">
        <v>0</v>
      </c>
      <c r="R96" s="4"/>
      <c r="S96" s="4" t="s">
        <v>975</v>
      </c>
    </row>
    <row r="97" spans="1:19" ht="70.2" customHeight="1" x14ac:dyDescent="0.3">
      <c r="A97" s="4" t="s">
        <v>976</v>
      </c>
      <c r="B97" s="4" t="s">
        <v>977</v>
      </c>
      <c r="C97" s="4" t="s">
        <v>978</v>
      </c>
      <c r="D97" s="4" t="s">
        <v>979</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2" customHeight="1" x14ac:dyDescent="0.3">
      <c r="A98" s="4" t="s">
        <v>980</v>
      </c>
      <c r="B98" s="4" t="s">
        <v>663</v>
      </c>
      <c r="C98" s="4" t="s">
        <v>981</v>
      </c>
      <c r="D98" s="4" t="s">
        <v>982</v>
      </c>
      <c r="E98" s="4" t="s">
        <v>388</v>
      </c>
      <c r="F98" s="4" t="s">
        <v>983</v>
      </c>
      <c r="G98" s="4" t="s">
        <v>93</v>
      </c>
      <c r="H98" s="4" t="s">
        <v>524</v>
      </c>
      <c r="I98" s="5">
        <v>28121067144</v>
      </c>
      <c r="J98" s="5">
        <v>142000000</v>
      </c>
      <c r="K98" s="5">
        <v>28263067144</v>
      </c>
      <c r="L98" s="6">
        <v>45861</v>
      </c>
      <c r="M98" s="6"/>
      <c r="N98" s="6">
        <v>45882</v>
      </c>
      <c r="O98" s="6">
        <v>45926</v>
      </c>
      <c r="P98" s="5">
        <v>7.97</v>
      </c>
      <c r="Q98" s="5">
        <v>27.96</v>
      </c>
      <c r="R98" s="4"/>
      <c r="S98" s="4" t="s">
        <v>984</v>
      </c>
    </row>
    <row r="99" spans="1:19" ht="70.2" customHeight="1" x14ac:dyDescent="0.3">
      <c r="A99" s="4" t="s">
        <v>985</v>
      </c>
      <c r="B99" s="4" t="s">
        <v>744</v>
      </c>
      <c r="C99" s="4" t="s">
        <v>986</v>
      </c>
      <c r="D99" s="4" t="s">
        <v>987</v>
      </c>
      <c r="E99" s="4" t="s">
        <v>74</v>
      </c>
      <c r="F99" s="4" t="s">
        <v>116</v>
      </c>
      <c r="G99" s="4" t="s">
        <v>230</v>
      </c>
      <c r="H99" s="4" t="s">
        <v>584</v>
      </c>
      <c r="I99" s="5">
        <v>1989520159</v>
      </c>
      <c r="J99" s="5">
        <v>835888647</v>
      </c>
      <c r="K99" s="5">
        <v>2825408806</v>
      </c>
      <c r="L99" s="6">
        <v>44078</v>
      </c>
      <c r="M99" s="6"/>
      <c r="N99" s="6">
        <v>44176</v>
      </c>
      <c r="O99" s="6"/>
      <c r="P99" s="5">
        <v>98.57</v>
      </c>
      <c r="Q99" s="5">
        <v>98.93</v>
      </c>
      <c r="R99" s="4"/>
      <c r="S99" s="4" t="s">
        <v>988</v>
      </c>
    </row>
    <row r="100" spans="1:19" ht="70.2" customHeight="1" x14ac:dyDescent="0.3">
      <c r="A100" s="4" t="s">
        <v>989</v>
      </c>
      <c r="B100" s="4" t="s">
        <v>990</v>
      </c>
      <c r="C100" s="4" t="s">
        <v>991</v>
      </c>
      <c r="D100" s="4" t="s">
        <v>992</v>
      </c>
      <c r="E100" s="4" t="s">
        <v>74</v>
      </c>
      <c r="F100" s="4" t="s">
        <v>116</v>
      </c>
      <c r="G100" s="4" t="s">
        <v>230</v>
      </c>
      <c r="H100" s="4" t="s">
        <v>584</v>
      </c>
      <c r="I100" s="5">
        <v>4869404585</v>
      </c>
      <c r="J100" s="5">
        <v>170383404</v>
      </c>
      <c r="K100" s="5">
        <v>5039787989</v>
      </c>
      <c r="L100" s="6">
        <v>44384</v>
      </c>
      <c r="M100" s="6"/>
      <c r="N100" s="6">
        <v>44407</v>
      </c>
      <c r="O100" s="6">
        <v>44560</v>
      </c>
      <c r="P100" s="5">
        <v>100</v>
      </c>
      <c r="Q100" s="5">
        <v>99.22</v>
      </c>
      <c r="R100" s="4"/>
      <c r="S100" s="4" t="s">
        <v>97</v>
      </c>
    </row>
    <row r="101" spans="1:19" ht="70.2" customHeight="1" x14ac:dyDescent="0.3">
      <c r="A101" s="4" t="s">
        <v>993</v>
      </c>
      <c r="B101" s="4" t="s">
        <v>638</v>
      </c>
      <c r="C101" s="4" t="s">
        <v>994</v>
      </c>
      <c r="D101" s="4" t="s">
        <v>995</v>
      </c>
      <c r="E101" s="4" t="s">
        <v>102</v>
      </c>
      <c r="F101" s="4" t="s">
        <v>996</v>
      </c>
      <c r="G101" s="4" t="s">
        <v>230</v>
      </c>
      <c r="H101" s="4" t="s">
        <v>584</v>
      </c>
      <c r="I101" s="5">
        <v>2644584337.2600002</v>
      </c>
      <c r="J101" s="5">
        <v>0</v>
      </c>
      <c r="K101" s="5">
        <v>2644584337.2600002</v>
      </c>
      <c r="L101" s="6">
        <v>44456</v>
      </c>
      <c r="M101" s="6"/>
      <c r="N101" s="6">
        <v>44489</v>
      </c>
      <c r="O101" s="6">
        <v>44859</v>
      </c>
      <c r="P101" s="5">
        <v>100</v>
      </c>
      <c r="Q101" s="5">
        <v>99.98</v>
      </c>
      <c r="R101" s="4"/>
      <c r="S101" s="4" t="s">
        <v>285</v>
      </c>
    </row>
    <row r="102" spans="1:19" ht="70.2" customHeight="1" x14ac:dyDescent="0.3">
      <c r="A102" s="4" t="s">
        <v>997</v>
      </c>
      <c r="B102" s="4" t="s">
        <v>592</v>
      </c>
      <c r="C102" s="4" t="s">
        <v>998</v>
      </c>
      <c r="D102" s="4" t="s">
        <v>999</v>
      </c>
      <c r="E102" s="4" t="s">
        <v>102</v>
      </c>
      <c r="F102" s="4" t="s">
        <v>1000</v>
      </c>
      <c r="G102" s="4" t="s">
        <v>230</v>
      </c>
      <c r="H102" s="4" t="s">
        <v>584</v>
      </c>
      <c r="I102" s="5">
        <v>6578630543.6700001</v>
      </c>
      <c r="J102" s="5">
        <v>0</v>
      </c>
      <c r="K102" s="5">
        <v>6578630543.6700001</v>
      </c>
      <c r="L102" s="6">
        <v>44559</v>
      </c>
      <c r="M102" s="6"/>
      <c r="N102" s="6">
        <v>44566</v>
      </c>
      <c r="O102" s="6">
        <v>44697</v>
      </c>
      <c r="P102" s="5">
        <v>100</v>
      </c>
      <c r="Q102" s="5">
        <v>100</v>
      </c>
      <c r="R102" s="4"/>
      <c r="S102" s="4" t="s">
        <v>595</v>
      </c>
    </row>
    <row r="103" spans="1:19" ht="70.2" customHeight="1" x14ac:dyDescent="0.3">
      <c r="A103" s="4" t="s">
        <v>1001</v>
      </c>
      <c r="B103" s="4" t="s">
        <v>968</v>
      </c>
      <c r="C103" s="4" t="s">
        <v>1002</v>
      </c>
      <c r="D103" s="4" t="s">
        <v>1003</v>
      </c>
      <c r="E103" s="4" t="s">
        <v>102</v>
      </c>
      <c r="F103" s="4" t="s">
        <v>105</v>
      </c>
      <c r="G103" s="4" t="s">
        <v>230</v>
      </c>
      <c r="H103" s="4" t="s">
        <v>584</v>
      </c>
      <c r="I103" s="5">
        <v>6853127845.6300001</v>
      </c>
      <c r="J103" s="5">
        <v>0</v>
      </c>
      <c r="K103" s="5">
        <v>6853127845.6300001</v>
      </c>
      <c r="L103" s="6">
        <v>45216</v>
      </c>
      <c r="M103" s="6"/>
      <c r="N103" s="6">
        <v>45219</v>
      </c>
      <c r="O103" s="6">
        <v>45286</v>
      </c>
      <c r="P103" s="5">
        <v>100</v>
      </c>
      <c r="Q103" s="5">
        <v>99.99</v>
      </c>
      <c r="R103" s="4"/>
      <c r="S103" s="4" t="s">
        <v>971</v>
      </c>
    </row>
    <row r="104" spans="1:19" ht="70.2" customHeight="1" x14ac:dyDescent="0.3">
      <c r="A104" s="4" t="s">
        <v>1004</v>
      </c>
      <c r="B104" s="4" t="s">
        <v>977</v>
      </c>
      <c r="C104" s="4" t="s">
        <v>1005</v>
      </c>
      <c r="D104" s="4"/>
      <c r="E104" s="4" t="s">
        <v>102</v>
      </c>
      <c r="F104" s="4" t="s">
        <v>1006</v>
      </c>
      <c r="G104" s="4" t="s">
        <v>1007</v>
      </c>
      <c r="H104" s="4" t="s">
        <v>577</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86AA879-F6E4-4512-AC7A-AB9CD1300842}">
  <ds:schemaRefs>
    <ds:schemaRef ds:uri="http://schemas.microsoft.com/sharepoint/v3/contenttype/forms"/>
  </ds:schemaRefs>
</ds:datastoreItem>
</file>

<file path=customXml/itemProps2.xml><?xml version="1.0" encoding="utf-8"?>
<ds:datastoreItem xmlns:ds="http://schemas.openxmlformats.org/officeDocument/2006/customXml" ds:itemID="{65E8F416-0DD0-4166-9ACF-D00744BB634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1FEB4F2-FA00-4CCF-8658-BE991A4AF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2026-06-09T18:33:53Z</dcterms:created>
  <dcterms:modified xsi:type="dcterms:W3CDTF">2026-08-13T22:44:32Z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