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55" documentId="8_{037BA787-73DB-464D-8B77-8A9A8F3F6EDE}" xr6:coauthVersionLast="47" xr6:coauthVersionMax="47" xr10:uidLastSave="{21DFF438-96BB-406B-9FF1-B0352D687B6F}"/>
  <bookViews>
    <workbookView xWindow="1116" yWindow="1116" windowWidth="21576" windowHeight="1110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1" l="1"/>
  <c r="Y60" i="1"/>
  <c r="Y61"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V20" i="1" s="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V7" i="1" s="1"/>
  <c r="AU6" i="1"/>
  <c r="AS6" i="1"/>
  <c r="AO6" i="1"/>
  <c r="AP6" i="1" s="1"/>
  <c r="AN6" i="1"/>
  <c r="AM6" i="1"/>
  <c r="AU5" i="1"/>
  <c r="AS5" i="1"/>
  <c r="AP5" i="1"/>
  <c r="AO5" i="1"/>
  <c r="AN5" i="1"/>
  <c r="AM5" i="1"/>
  <c r="AV5" i="1" s="1"/>
  <c r="AV4" i="1"/>
  <c r="AU4" i="1"/>
  <c r="AS4" i="1"/>
  <c r="AO4" i="1"/>
  <c r="AP4" i="1" s="1"/>
  <c r="AN4" i="1"/>
  <c r="AM4" i="1"/>
  <c r="AU3" i="1"/>
  <c r="AS3" i="1"/>
  <c r="AP3" i="1"/>
  <c r="AO3" i="1"/>
  <c r="AN3" i="1"/>
  <c r="AM3" i="1"/>
  <c r="AV14" i="1" l="1"/>
  <c r="AV53" i="1"/>
  <c r="AV40" i="1"/>
  <c r="AK6" i="2"/>
  <c r="AK9" i="2"/>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<sst xmlns="http://schemas.openxmlformats.org/spreadsheetml/2006/main" count="1872" uniqueCount="942">
  <si>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</si>
  <si>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</si>
  <si>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</si>
  <si>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</si>
  <si>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</si>
  <si>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</si>
  <si>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</si>
  <si>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</si>
  <si>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</si>
  <si>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</si>
  <si>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</si>
  <si>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</si>
  <si>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</si>
  <si>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</si>
  <si>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</si>
  <si>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</si>
  <si>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</si>
  <si>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</si>
  <si>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</si>
  <si>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</si>
  <si>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</si>
  <si>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</si>
  <si>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</si>
  <si>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</si>
  <si>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</si>
  <si>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</si>
  <si>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</si>
  <si>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</si>
  <si>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</si>
  <si>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</si>
  <si>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</si>
  <si>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</si>
  <si>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</si>
  <si>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</si>
  <si>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</si>
  <si>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</si>
  <si>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</si>
  <si>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</si>
  <si>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</si>
  <si>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</si>
  <si>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</si>
  <si>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</si>
  <si>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</si>
  <si>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</si>
  <si>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</si>
  <si>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</si>
  <si>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</si>
  <si>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</si>
  <si>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</si>
  <si>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</si>
  <si>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</si>
  <si>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</si>
  <si>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</si>
  <si>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</si>
  <si>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</si>
  <si>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</si>
  <si>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</si>
  <si>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</si>
  <si>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</si>
  <si>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</si>
  <si>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</si>
  <si>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</si>
  <si>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</si>
  <si>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</si>
  <si>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</si>
  <si>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</si>
  <si>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</si>
  <si>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</si>
  <si>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</si>
  <si>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</si>
  <si>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</si>
  <si>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</si>
  <si>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</si>
  <si>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</si>
  <si>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</si>
  <si>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</si>
  <si>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</si>
  <si>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</si>
  <si>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</si>
  <si>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</si>
  <si>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</si>
  <si>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</si>
  <si>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</si>
  <si>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</si>
  <si>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</si>
  <si>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</si>
  <si>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</si>
  <si>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</si>
  <si>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</si>
  <si>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</si>
  <si>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</si>
  <si>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</si>
  <si>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</si>
  <si>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</si>
  <si>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</si>
  <si>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</si>
  <si>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</si>
  <si>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</si>
  <si>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</si>
  <si>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</si>
  <si>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</si>
  <si>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</si>
  <si>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</si>
  <si>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</si>
  <si>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</si>
  <si>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</si>
  <si>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</si>
  <si>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</si>
  <si>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</si>
  <si>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</si>
  <si>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</si>
  <si>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</si>
  <si>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</si>
  <si>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</si>
  <si>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</si>
  <si>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</si>
  <si>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</si>
  <si>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</si>
  <si>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</si>
  <si>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</si>
  <si>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</si>
  <si>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</si>
  <si>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</si>
  <si>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</si>
  <si>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</si>
  <si>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</si>
  <si>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</si>
  <si>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</si>
  <si>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</si>
  <si>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</si>
  <si>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</si>
  <si>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</si>
  <si>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</si>
  <si>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</si>
  <si>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</si>
  <si>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</si>
  <si>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</si>
  <si>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</si>
  <si>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</si>
  <si>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</si>
  <si>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</si>
  <si>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</si>
  <si>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</si>
  <si>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</si>
  <si>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</si>
  <si>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</si>
  <si>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</si>
  <si>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</si>
  <si>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</si>
  <si>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</si>
  <si>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</si>
  <si>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</si>
  <si>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</si>
  <si>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</si>
  <si>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</si>
  <si>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</si>
  <si>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</si>
  <si>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</si>
  <si>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</si>
  <si>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</si>
  <si>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</si>
  <si>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</si>
  <si>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</si>
  <si>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</si>
  <si>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</si>
  <si>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</si>
  <si>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</si>
  <si>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</si>
  <si>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</si>
  <si>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</si>
  <si>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</si>
  <si>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</si>
  <si>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</si>
  <si>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</si>
  <si>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</si>
  <si>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</si>
  <si>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</si>
  <si>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</si>
  <si>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</si>
  <si>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</si>
  <si>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</si>
  <si>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</si>
  <si>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</si>
  <si>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</si>
  <si>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</si>
  <si>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</si>
  <si>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</si>
  <si>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</si>
  <si>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</si>
  <si>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</si>
  <si>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</si>
  <si>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</si>
  <si>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</si>
  <si>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</si>
  <si>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</si>
  <si>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</si>
  <si>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</si>
  <si>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</si>
  <si>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</si>
  <si>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</si>
  <si>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</si>
  <si>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</si>
  <si>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</si>
  <si>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</si>
  <si>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</si>
  <si>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</si>
  <si>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</si>
  <si>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</si>
  <si>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</si>
  <si>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</si>
  <si>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</si>
  <si>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</si>
  <si>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</si>
  <si>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</si>
  <si>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</si>
  <si>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</si>
  <si>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</si>
  <si>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</si>
  <si>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</si>
  <si>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</si>
  <si>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</si>
  <si>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</si>
  <si>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</si>
  <si>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</si>
  <si>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</si>
  <si>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</si>
  <si>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</si>
  <si>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</si>
  <si>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</si>
  <si>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</si>
  <si>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</si>
  <si>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</si>
  <si>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</si>
  <si>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</si>
  <si>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</si>
  <si>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</si>
  <si>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</si>
  <si>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</si>
  <si>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</si>
  <si>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</si>
  <si>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</si>
  <si>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</si>
  <si>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</si>
  <si>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</si>
  <si>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</si>
  <si>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</si>
  <si>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</si>
  <si>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</si>
  <si>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</si>
  <si>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</si>
  <si>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</si>
  <si>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</si>
  <si>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</si>
  <si>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</si>
  <si>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</si>
  <si>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</si>
  <si>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</si>
  <si>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</si>
  <si>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</si>
  <si>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</si>
  <si>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</si>
  <si>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</si>
  <si>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</si>
  <si>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</si>
  <si>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</si>
  <si>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</si>
  <si>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</si>
  <si>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</si>
  <si>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</si>
  <si>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</si>
  <si>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</si>
  <si>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</si>
  <si>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</si>
  <si>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</si>
  <si>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</si>
  <si>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</si>
  <si>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</si>
  <si>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</si>
  <si>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</si>
  <si>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</si>
  <si>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</si>
  <si>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</si>
  <si>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</si>
  <si>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</si>
  <si>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</si>
  <si>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</si>
  <si>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</si>
  <si>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</si>
  <si>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</si>
  <si>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</si>
  <si>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</si>
  <si>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</si>
  <si>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</si>
  <si>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</si>
  <si>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</si>
  <si>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</si>
  <si>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</si>
  <si>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</si>
  <si>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</si>
  <si>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</si>
  <si>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</si>
  <si>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</si>
  <si>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</si>
  <si>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</si>
  <si>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</si>
  <si>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</si>
  <si>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</si>
  <si>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</si>
  <si>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</si>
  <si>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</si>
  <si>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</si>
  <si>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</si>
  <si>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</si>
  <si>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</si>
  <si>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</si>
  <si>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</si>
  <si>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</si>
  <si>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</si>
  <si>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</si>
  <si>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</si>
  <si>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</si>
  <si>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</si>
  <si>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</si>
  <si>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</si>
  <si>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</si>
  <si>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</si>
  <si>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</si>
  <si>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</si>
  <si>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</si>
  <si>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</si>
  <si>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</si>
  <si>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</si>
  <si>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</si>
  <si>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</si>
  <si>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</si>
  <si>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</si>
  <si>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</si>
  <si>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</si>
  <si>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</si>
  <si>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</si>
  <si>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</si>
  <si>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</si>
  <si>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</si>
  <si>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</si>
  <si>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</si>
  <si>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</si>
  <si>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</si>
  <si>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</si>
  <si>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</si>
  <si>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</si>
  <si>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</si>
  <si>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</si>
  <si>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</si>
  <si>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</si>
  <si>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</si>
  <si>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</si>
  <si>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</si>
  <si>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</si>
  <si>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</si>
  <si>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</si>
  <si>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</si>
  <si>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</si>
  <si>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</si>
  <si>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</si>
  <si>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</si>
  <si>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</si>
  <si>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</si>
  <si>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</si>
  <si>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</si>
  <si>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</si>
  <si>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</si>
  <si>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</si>
  <si>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</si>
  <si>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</si>
  <si>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</si>
  <si>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</si>
  <si>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</si>
  <si>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</si>
  <si>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</si>
  <si>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</si>
  <si>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</si>
  <si>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</si>
  <si>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</si>
  <si>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</si>
  <si>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</si>
  <si>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</si>
  <si>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</si>
  <si>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</si>
  <si>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</si>
  <si>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</si>
  <si>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</si>
  <si>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</si>
  <si>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</si>
  <si>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</si>
  <si>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</si>
  <si>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</si>
  <si>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</si>
  <si>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</si>
  <si>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</si>
  <si>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</si>
  <si>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</si>
  <si>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</si>
  <si>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</si>
  <si>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</si>
  <si>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</si>
  <si>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</si>
  <si>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</si>
  <si>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</si>
  <si>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</si>
  <si>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</si>
  <si>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</si>
  <si>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</si>
  <si>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</si>
  <si>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</si>
  <si>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</si>
  <si>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</si>
  <si>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</si>
  <si>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</si>
  <si>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</si>
  <si>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</si>
  <si>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</si>
  <si>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</si>
  <si>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</si>
  <si>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</si>
  <si>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</si>
  <si>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</si>
  <si>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</si>
  <si>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</si>
  <si>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</si>
  <si>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</si>
  <si>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</si>
  <si>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</si>
  <si>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</si>
  <si>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</si>
  <si>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</si>
  <si>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</si>
  <si>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</si>
  <si>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</si>
  <si>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</si>
  <si>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</si>
  <si>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</si>
  <si>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</si>
  <si>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</si>
  <si>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</si>
  <si>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</si>
  <si>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</si>
  <si>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</si>
  <si>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</si>
  <si>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</si>
  <si>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</si>
  <si>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</si>
  <si>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</si>
  <si>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</si>
  <si>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</si>
  <si>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</si>
  <si>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</si>
  <si>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</si>
  <si>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</si>
  <si>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</si>
  <si>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</si>
  <si>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</si>
  <si>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</si>
  <si>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</si>
  <si>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</si>
  <si>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</si>
  <si>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</si>
  <si>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</si>
  <si>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</si>
  <si>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</si>
  <si>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</si>
  <si>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</si>
  <si>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</si>
  <si>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</si>
  <si>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</si>
  <si>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</si>
  <si>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</si>
  <si>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</si>
  <si>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</si>
  <si>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</si>
  <si>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</si>
  <si>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</si>
  <si>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</si>
  <si>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</si>
  <si>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</si>
  <si>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</si>
  <si>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</si>
  <si>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</si>
  <si>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</si>
  <si>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</si>
  <si>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</si>
  <si>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</si>
  <si>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</si>
  <si>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</si>
  <si>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</si>
  <si>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</si>
  <si>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</si>
  <si>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</si>
  <si>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</si>
  <si>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</si>
  <si>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</si>
  <si>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</si>
  <si>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</si>
  <si>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</si>
  <si>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</si>
  <si>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</si>
  <si>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</si>
  <si>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</si>
  <si>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</si>
  <si>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</si>
  <si>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</si>
  <si>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</si>
  <si>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</si>
  <si>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</si>
  <si>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</si>
  <si>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</si>
  <si>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</si>
  <si>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</si>
  <si>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</si>
  <si>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</si>
  <si>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</si>
  <si>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</si>
  <si>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</si>
  <si>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</si>
  <si>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</si>
  <si>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</si>
  <si>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</si>
  <si>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</si>
  <si>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</si>
  <si>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</si>
  <si>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</si>
  <si>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</si>
  <si>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</si>
  <si>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</si>
  <si>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</si>
  <si>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</si>
  <si>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</si>
  <si>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</si>
  <si>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</si>
  <si>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</si>
  <si>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</si>
  <si>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</si>
  <si>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</si>
  <si>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</si>
  <si>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</si>
  <si>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</si>
  <si>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</si>
  <si>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</si>
  <si>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</si>
  <si>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</si>
  <si>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</si>
  <si>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</si>
  <si>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</si>
  <si>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</si>
  <si>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</si>
  <si>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</si>
  <si>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</si>
  <si>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</si>
  <si>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</si>
  <si>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</si>
  <si>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</si>
  <si>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</si>
  <si>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</si>
  <si>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</si>
  <si>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</si>
  <si>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</si>
  <si>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</si>
  <si>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</si>
  <si>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</si>
  <si>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</si>
  <si>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</si>
  <si>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</si>
  <si>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</si>
  <si>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</si>
  <si>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</si>
  <si>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</si>
  <si>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</si>
  <si>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</si>
  <si>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</si>
  <si>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</si>
  <si>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</si>
  <si>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</si>
  <si>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</si>
  <si>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</si>
  <si>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</si>
  <si>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</si>
  <si>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</si>
  <si>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</si>
  <si>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</si>
  <si>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</si>
  <si>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</si>
  <si>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</si>
  <si>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</si>
  <si>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</si>
  <si>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</si>
  <si>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</si>
  <si>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</si>
  <si>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</si>
  <si>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</si>
  <si>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</si>
  <si>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</si>
  <si>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</si>
  <si>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</si>
  <si>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</si>
  <si>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</si>
  <si>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</si>
  <si>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</si>
  <si>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</si>
  <si>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</si>
  <si>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</si>
  <si>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</si>
  <si>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</si>
  <si>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</si>
  <si>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</si>
  <si>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</si>
  <si>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</si>
  <si>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</si>
  <si>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</si>
  <si>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</si>
  <si>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</si>
  <si>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</si>
  <si>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</si>
  <si>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</si>
  <si>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</si>
  <si>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</si>
  <si>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</si>
  <si>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</si>
  <si>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</si>
  <si>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</si>
  <si>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</si>
  <si>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</si>
  <si>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</si>
  <si>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</si>
  <si>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</si>
  <si>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</si>
  <si>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</si>
  <si>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</si>
  <si>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</si>
  <si>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</si>
  <si>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</si>
  <si>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</si>
  <si>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</si>
  <si>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</si>
  <si>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</si>
  <si>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</si>
  <si>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</si>
  <si>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</si>
  <si>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</si>
  <si>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</si>
  <si>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</si>
  <si>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</si>
  <si>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</si>
  <si>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</si>
  <si>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</si>
  <si>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</si>
  <si>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</si>
  <si>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</si>
  <si>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</si>
  <si>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</si>
  <si>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</si>
  <si>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</si>
  <si>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</si>
  <si>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</si>
  <si>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</si>
  <si>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</si>
  <si>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</si>
  <si>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</si>
  <si>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</si>
  <si>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</si>
  <si>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</si>
  <si>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</si>
  <si>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</si>
  <si>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</si>
  <si>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</si>
  <si>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</si>
  <si>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</si>
  <si>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</si>
  <si>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</si>
  <si>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</si>
  <si>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</si>
  <si>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</si>
  <si>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</si>
  <si>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</si>
  <si>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</si>
  <si>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</si>
  <si>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</si>
  <si>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</si>
  <si>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</si>
  <si>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</si>
  <si>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</si>
  <si>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</si>
  <si>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</si>
  <si>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</si>
  <si>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</si>
  <si>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</si>
  <si>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</si>
  <si>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</si>
  <si>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</si>
  <si>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</si>
  <si>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</si>
  <si>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</si>
  <si>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</si>
  <si>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</si>
  <si>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</si>
  <si>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</si>
  <si>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</si>
  <si>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</si>
  <si>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</si>
  <si>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</si>
  <si>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</si>
  <si>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</si>
  <si>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</si>
  <si>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</si>
  <si>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</si>
  <si>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</si>
  <si>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</si>
  <si>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</si>
  <si>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</si>
  <si>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</si>
  <si>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</si>
  <si>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</si>
  <si>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</si>
  <si>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</si>
  <si>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</si>
  <si>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</si>
  <si>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</si>
  <si>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</si>
  <si>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</si>
  <si>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</si>
  <si>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</si>
  <si>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</si>
  <si>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</si>
  <si>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</si>
  <si>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</si>
  <si>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</si>
  <si>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</si>
  <si>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</si>
  <si>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</si>
  <si>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</si>
  <si>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</si>
  <si>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</si>
  <si>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</si>
  <si>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</si>
  <si>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</si>
  <si>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</si>
  <si>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</si>
  <si>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</si>
  <si>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</si>
  <si>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</si>
  <si>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</si>
  <si>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</si>
  <si>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</si>
  <si>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</si>
  <si>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</si>
  <si>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</si>
  <si>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</si>
  <si>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</si>
  <si>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</si>
  <si>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</si>
  <si>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</si>
  <si>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</si>
  <si>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</si>
  <si>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</si>
  <si>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</si>
  <si>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</si>
  <si>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</si>
  <si>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</si>
  <si>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</si>
  <si>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</si>
  <si>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</si>
  <si>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</si>
  <si>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</si>
  <si>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</si>
  <si>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</si>
  <si>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</si>
  <si>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</si>
  <si>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</si>
  <si>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</si>
  <si>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</si>
  <si>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</si>
  <si>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</si>
  <si>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</si>
  <si>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</si>
  <si>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</si>
  <si>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</si>
  <si>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</si>
  <si>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</si>
  <si>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</si>
  <si>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</si>
  <si>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</si>
  <si>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</si>
  <si>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</si>
  <si>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</si>
  <si>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</si>
  <si>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</si>
  <si>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</si>
  <si>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</si>
  <si>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</si>
  <si>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</si>
  <si>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</si>
  <si>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</si>
  <si>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</si>
  <si>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</si>
  <si>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</si>
  <si>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</si>
  <si>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</si>
  <si>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</si>
  <si>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</si>
  <si>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</si>
  <si>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</si>
  <si>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</si>
  <si>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</si>
  <si>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</si>
  <si>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</si>
  <si>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</si>
  <si>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</si>
  <si>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</si>
  <si>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</si>
  <si>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</si>
  <si>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</si>
  <si>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</si>
  <si>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</si>
  <si>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</si>
  <si>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</si>
  <si>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</si>
  <si>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</si>
  <si>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</si>
  <si>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</si>
  <si>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</si>
  <si>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</si>
  <si>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</si>
  <si>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</si>
  <si>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</si>
  <si>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</si>
  <si>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</si>
  <si>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</si>
  <si>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</si>
  <si>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</si>
  <si>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</si>
  <si>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</si>
  <si>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</si>
  <si>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</si>
  <si>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</si>
  <si>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</si>
  <si>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</si>
  <si>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</si>
  <si>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</si>
  <si>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</si>
  <si>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</si>
  <si>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</si>
  <si>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</si>
  <si>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</si>
  <si>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</si>
  <si>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</si>
  <si>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</si>
  <si>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</si>
  <si>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</si>
  <si>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</si>
  <si>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</si>
  <si>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</si>
  <si>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</si>
  <si>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</si>
  <si>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</si>
  <si>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</si>
  <si>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</si>
  <si>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</si>
  <si>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</si>
  <si>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</si>
  <si>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</si>
  <si>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</si>
  <si>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</si>
  <si>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</si>
  <si>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</si>
  <si>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</si>
  <si>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</si>
  <si>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</si>
  <si>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</si>
  <si>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</si>
  <si>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</si>
  <si>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</si>
  <si>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</si>
  <si>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</si>
  <si>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</si>
  <si>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</si>
  <si>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</si>
  <si>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</si>
  <si>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</si>
  <si>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</si>
  <si>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</si>
  <si>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</si>
  <si>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</si>
  <si>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</si>
  <si>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</si>
  <si>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</si>
  <si>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</si>
  <si>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</si>
  <si>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</si>
  <si>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</si>
  <si>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</si>
  <si>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</si>
  <si>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</si>
  <si>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</si>
  <si>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</si>
  <si>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</si>
  <si>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</si>
  <si>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</si>
  <si>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</si>
  <si>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</si>
  <si>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</si>
  <si>
    <t>PUNTAJE IGPR I TRIMESTRE  2026</t>
  </si>
  <si>
    <t>RESPONSABLE CARGUE EN GESPROY3</t>
  </si>
  <si>
    <t>Todo el Departamento de Sucre</t>
  </si>
  <si>
    <t>Corozal, San Onofre, Morroa, Majagual, San Marcos</t>
  </si>
  <si>
    <t>La Unión</t>
  </si>
  <si>
    <t>San Luis De Sincé, Morroa, Sampués</t>
  </si>
  <si>
    <t>Sincelejo</t>
  </si>
  <si>
    <t>San Benito Abad, Majagual, Sucre</t>
  </si>
  <si>
    <t>San Benito Abad</t>
  </si>
  <si>
    <t>San Onofre</t>
  </si>
  <si>
    <t>Colosó, San José de Toluviejo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</si>
  <si>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</si>
  <si>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</si>
  <si>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</si>
  <si>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</si>
  <si>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</si>
  <si>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</si>
  <si>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</si>
  <si>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</si>
  <si>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</si>
  <si>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</si>
  <si>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</si>
  <si>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</si>
  <si>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</si>
  <si>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Sincelejo, Corozal</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</si>
  <si>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</si>
  <si>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</si>
  <si>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</si>
  <si>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</si>
  <si>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</si>
  <si>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</si>
  <si>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Caimito, El Roble, San Onofre, Palmito, Santiago de Tolú</t>
  </si>
  <si>
    <t>San José de Toluviejo, Sincelejo, Galeras</t>
  </si>
  <si>
    <t>Planeación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</si>
</sst>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61" totalsRowShown="0">
  <autoFilter ref="A2:AZ61" xr:uid="{00000000-0009-0000-0100-000001000000}"/>
  <tableColumns count="52">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 id="51" xr3:uid="{27DE60B2-C6BC-4DFF-81AD-2BE35C6BC934}" name="PUNTAJE IGPR I TRIMESTRE  2026"/>
    <tableColumn id="52" xr3:uid="{05922F1C-DD22-4A44-94DA-C0753FF4FADE}" name="RESPONSABLE CARGUE EN GESPROY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filterColumn colId="1">
      <filters>
        <filter val="INSTITUTO DEPARTAMENTAL DE DEPORTES Y RECREACION DE SUCRE INDERSUCRE"/>
      </filters>
    </filterColumn>
    <filterColumn colId="6">
      <filters>
        <filter val="CONTRATADO EN EJECUCIÓN"/>
      </filters>
    </filterColumn>
  </autoFilter>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61"/>
  <sheetViews>
    <sheetView tabSelected="1" topLeftCell="Y55" workbookViewId="0">
      <selection activeCell="AY3" sqref="AY3:AZ58"/>
    </sheetView>
  </sheetViews>
  <sheetFormatPr baseColWidth="10" defaultColWidth="8.88671875" defaultRowHeight="14.4" x14ac:dyDescent="0.3"/>
  <cols>
    <col min="1" max="2" width="25.6640625" customWidth="1"/>
    <col min="3" max="3" width="32.21875" customWidth="1"/>
    <col min="4" max="24" width="25.6640625"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0.5546875" customWidth="1"/>
    <col min="52" max="52" width="22.33203125" customWidth="1"/>
  </cols>
  <sheetData>
    <row r="1" spans="1:52" ht="40.049999999999997" customHeight="1" x14ac:dyDescent="0.3">
      <c r="A1" s="12" t="s">
        <v>0</v>
      </c>
      <c r="B1" s="12"/>
      <c r="C1" s="12"/>
      <c r="D1" s="12"/>
      <c r="E1" s="12"/>
      <c r="F1" s="12"/>
      <c r="G1" s="12"/>
      <c r="H1" s="12"/>
      <c r="I1" s="12"/>
      <c r="J1" s="12"/>
      <c r="K1" s="12"/>
      <c r="L1" s="12"/>
      <c r="M1" s="12"/>
      <c r="N1" s="12"/>
      <c r="O1" s="12"/>
      <c r="P1" s="12"/>
      <c r="Q1" s="12"/>
      <c r="R1" s="12"/>
      <c r="S1" s="12"/>
      <c r="T1" s="12"/>
      <c r="U1" s="13" t="s">
        <v>1</v>
      </c>
      <c r="V1" s="13"/>
      <c r="W1" s="13"/>
      <c r="X1" s="13"/>
      <c r="Y1" s="13"/>
      <c r="Z1" s="13"/>
      <c r="AA1" s="13"/>
      <c r="AB1" s="13"/>
      <c r="AC1" s="13"/>
      <c r="AD1" s="13"/>
      <c r="AE1" s="13"/>
      <c r="AF1" s="13"/>
      <c r="AG1" s="13"/>
      <c r="AH1" s="13"/>
      <c r="AI1" s="13"/>
      <c r="AJ1" s="13"/>
      <c r="AK1" s="13"/>
      <c r="AL1" s="13"/>
      <c r="AM1" s="13"/>
      <c r="AN1" s="13"/>
      <c r="AO1" s="13"/>
      <c r="AP1" s="13"/>
      <c r="AQ1" s="13"/>
      <c r="AR1" s="12" t="s">
        <v>2</v>
      </c>
      <c r="AS1" s="12"/>
      <c r="AT1" s="12"/>
      <c r="AU1" s="12"/>
      <c r="AV1" s="12"/>
      <c r="AW1" s="12"/>
      <c r="AX1" s="12"/>
    </row>
    <row r="2" spans="1:52"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c r="AY2" s="1" t="s">
        <v>908</v>
      </c>
      <c r="AZ2" s="3" t="s">
        <v>909</v>
      </c>
    </row>
    <row r="3" spans="1:52" ht="210.6" customHeight="1" x14ac:dyDescent="0.3">
      <c r="A3" s="4" t="s">
        <v>52</v>
      </c>
      <c r="B3" s="4" t="s">
        <v>941</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c r="AY3">
        <v>39</v>
      </c>
      <c r="AZ3" s="10" t="s">
        <v>910</v>
      </c>
    </row>
    <row r="4" spans="1:52" ht="70.05"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c r="AZ4" s="11" t="s">
        <v>911</v>
      </c>
    </row>
    <row r="5" spans="1:52" ht="70.05"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c r="AZ5" s="11" t="s">
        <v>910</v>
      </c>
    </row>
    <row r="6" spans="1:52" ht="139.19999999999999"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c r="AY6">
        <v>45</v>
      </c>
      <c r="AZ6" s="11" t="s">
        <v>912</v>
      </c>
    </row>
    <row r="7" spans="1:52" ht="70.05"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c r="AY7">
        <v>100</v>
      </c>
      <c r="AZ7" s="11" t="s">
        <v>913</v>
      </c>
    </row>
    <row r="8" spans="1:52" ht="70.05"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c r="AY8">
        <v>100</v>
      </c>
      <c r="AZ8" s="10" t="s">
        <v>914</v>
      </c>
    </row>
    <row r="9" spans="1:52" ht="70.05"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c r="AY9">
        <v>90</v>
      </c>
      <c r="AZ9" s="11" t="s">
        <v>914</v>
      </c>
    </row>
    <row r="10" spans="1:52" ht="70.05"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c r="AZ10" s="11" t="s">
        <v>914</v>
      </c>
    </row>
    <row r="11" spans="1:52" ht="70.05"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c r="AZ11" s="11" t="s">
        <v>915</v>
      </c>
    </row>
    <row r="12" spans="1:52" ht="70.05"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c r="AZ12" s="11" t="s">
        <v>910</v>
      </c>
    </row>
    <row r="13" spans="1:52" ht="70.05"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c r="AY13">
        <v>100</v>
      </c>
      <c r="AZ13" s="11" t="s">
        <v>914</v>
      </c>
    </row>
    <row r="14" spans="1:52" ht="70.05"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c r="AZ14" s="11" t="s">
        <v>916</v>
      </c>
    </row>
    <row r="15" spans="1:52" ht="70.05"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c r="AZ15" s="11" t="s">
        <v>917</v>
      </c>
    </row>
    <row r="16" spans="1:52" ht="70.05"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c r="AY16">
        <v>100</v>
      </c>
      <c r="AZ16" s="11" t="s">
        <v>918</v>
      </c>
    </row>
    <row r="17" spans="1:52" ht="70.05"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c r="AZ17" s="11" t="s">
        <v>919</v>
      </c>
    </row>
    <row r="18" spans="1:52" ht="70.05"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c r="AY18">
        <v>90</v>
      </c>
      <c r="AZ18" s="11" t="s">
        <v>914</v>
      </c>
    </row>
    <row r="19" spans="1:52" ht="70.05"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c r="AZ19" s="11" t="s">
        <v>920</v>
      </c>
    </row>
    <row r="20" spans="1:52" ht="70.05"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c r="AY20">
        <v>98.4</v>
      </c>
      <c r="AZ20" s="11" t="s">
        <v>921</v>
      </c>
    </row>
    <row r="21" spans="1:52" ht="70.05"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c r="AY21">
        <v>90</v>
      </c>
      <c r="AZ21" s="11" t="s">
        <v>922</v>
      </c>
    </row>
    <row r="22" spans="1:52" ht="130.19999999999999"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c r="AY22">
        <v>94.8</v>
      </c>
      <c r="AZ22" s="11" t="s">
        <v>923</v>
      </c>
    </row>
    <row r="23" spans="1:52" ht="70.05"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c r="AY23">
        <v>79.2</v>
      </c>
      <c r="AZ23" s="11" t="s">
        <v>924</v>
      </c>
    </row>
    <row r="24" spans="1:52" ht="70.05" customHeight="1" x14ac:dyDescent="0.3">
      <c r="A24" s="4" t="s">
        <v>217</v>
      </c>
      <c r="B24" s="4" t="s">
        <v>941</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c r="AY24">
        <v>90</v>
      </c>
      <c r="AZ24" s="11" t="s">
        <v>910</v>
      </c>
    </row>
    <row r="25" spans="1:52" ht="70.05"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c r="AZ25" s="11" t="s">
        <v>914</v>
      </c>
    </row>
    <row r="26" spans="1:52" ht="70.05"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c r="AZ26" s="11" t="s">
        <v>925</v>
      </c>
    </row>
    <row r="27" spans="1:52" ht="70.05"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c r="AZ27" s="11" t="s">
        <v>914</v>
      </c>
    </row>
    <row r="28" spans="1:52" ht="70.05"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c r="AY28">
        <v>100</v>
      </c>
      <c r="AZ28" s="11" t="s">
        <v>926</v>
      </c>
    </row>
    <row r="29" spans="1:52" ht="70.05"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c r="AZ29" s="11" t="s">
        <v>910</v>
      </c>
    </row>
    <row r="30" spans="1:52" ht="70.05"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c r="AZ30" s="11" t="s">
        <v>927</v>
      </c>
    </row>
    <row r="31" spans="1:52" ht="70.05"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c r="AY31">
        <v>90</v>
      </c>
      <c r="AZ31" s="11" t="s">
        <v>925</v>
      </c>
    </row>
    <row r="32" spans="1:52" ht="70.05"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c r="AZ32" s="11" t="s">
        <v>928</v>
      </c>
    </row>
    <row r="33" spans="1:52"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c r="AZ33" s="11" t="s">
        <v>929</v>
      </c>
    </row>
    <row r="34" spans="1:52" ht="70.05"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c r="AY34">
        <v>100</v>
      </c>
      <c r="AZ34" s="11" t="s">
        <v>910</v>
      </c>
    </row>
    <row r="35" spans="1:52" ht="70.05"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c r="AZ35" s="11" t="s">
        <v>914</v>
      </c>
    </row>
    <row r="36" spans="1:52" ht="70.05"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c r="AZ36" s="11" t="s">
        <v>930</v>
      </c>
    </row>
    <row r="37" spans="1:52" ht="70.05"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c r="AZ37" s="11" t="s">
        <v>910</v>
      </c>
    </row>
    <row r="38" spans="1:52" ht="70.05"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c r="AY38">
        <v>14</v>
      </c>
      <c r="AZ38" s="11" t="s">
        <v>931</v>
      </c>
    </row>
    <row r="39" spans="1:52" ht="70.05"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c r="AZ39" s="11" t="s">
        <v>910</v>
      </c>
    </row>
    <row r="40" spans="1:52" ht="70.05"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c r="AY40">
        <v>100</v>
      </c>
      <c r="AZ40" s="11" t="s">
        <v>910</v>
      </c>
    </row>
    <row r="41" spans="1:52"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c r="AY41">
        <v>23</v>
      </c>
      <c r="AZ41" s="11" t="s">
        <v>910</v>
      </c>
    </row>
    <row r="42" spans="1:52"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c r="AY42">
        <v>17.5</v>
      </c>
      <c r="AZ42" s="11" t="s">
        <v>932</v>
      </c>
    </row>
    <row r="43" spans="1:52" ht="70.05"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c r="AY43">
        <v>17.5</v>
      </c>
      <c r="AZ43" s="11" t="s">
        <v>933</v>
      </c>
    </row>
    <row r="44" spans="1:52"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c r="AY44">
        <v>100</v>
      </c>
      <c r="AZ44" s="11" t="s">
        <v>910</v>
      </c>
    </row>
    <row r="45" spans="1:52" ht="70.05"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c r="AY45">
        <v>40</v>
      </c>
      <c r="AZ45" s="11" t="s">
        <v>910</v>
      </c>
    </row>
    <row r="46" spans="1:52" ht="70.05"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c r="AY46">
        <v>33.5</v>
      </c>
      <c r="AZ46" s="11" t="s">
        <v>925</v>
      </c>
    </row>
    <row r="47" spans="1:52" ht="70.05"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c r="AY47">
        <v>0</v>
      </c>
      <c r="AZ47" s="11" t="s">
        <v>914</v>
      </c>
    </row>
    <row r="48" spans="1:52" ht="70.05"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c r="AY48">
        <v>50</v>
      </c>
      <c r="AZ48" s="11" t="s">
        <v>934</v>
      </c>
    </row>
    <row r="49" spans="1:52" ht="70.05"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c r="AZ49" s="11" t="s">
        <v>935</v>
      </c>
    </row>
    <row r="50" spans="1:52" ht="70.05"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c r="AY50">
        <v>0</v>
      </c>
      <c r="AZ50" s="11" t="s">
        <v>936</v>
      </c>
    </row>
    <row r="51" spans="1:52" ht="70.05"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c r="AY51">
        <v>32.4</v>
      </c>
      <c r="AZ51" s="11" t="s">
        <v>937</v>
      </c>
    </row>
    <row r="52" spans="1:52" ht="70.05"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c r="AY52">
        <v>30</v>
      </c>
      <c r="AZ52" s="11" t="s">
        <v>938</v>
      </c>
    </row>
    <row r="53" spans="1:52" ht="70.05"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c r="AY53">
        <v>100</v>
      </c>
      <c r="AZ53" s="11" t="s">
        <v>929</v>
      </c>
    </row>
    <row r="54" spans="1:52"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c r="AY54">
        <v>100</v>
      </c>
      <c r="AZ54" s="11" t="s">
        <v>910</v>
      </c>
    </row>
    <row r="55" spans="1:52" ht="70.05"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c r="AY55">
        <v>100</v>
      </c>
      <c r="AZ55" s="11" t="s">
        <v>939</v>
      </c>
    </row>
    <row r="56" spans="1:52" ht="70.05"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c r="AY56">
        <v>0</v>
      </c>
      <c r="AZ56" s="11" t="s">
        <v>940</v>
      </c>
    </row>
    <row r="57" spans="1:52" ht="70.05"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c r="AY57">
        <v>100</v>
      </c>
      <c r="AZ57" s="11" t="s">
        <v>910</v>
      </c>
    </row>
    <row r="58" spans="1:52" ht="70.05"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c r="AY58">
        <v>100</v>
      </c>
      <c r="AZ58" s="11" t="s">
        <v>914</v>
      </c>
    </row>
    <row r="59" spans="1:52" x14ac:dyDescent="0.3">
      <c r="Y59" s="7">
        <f>4/2026-MatrizSeguimientoEvaluacion[[#This Row],[FECHA APROBACIÓN PROYECTO]]</f>
        <v>1.9743336623889436E-3</v>
      </c>
    </row>
    <row r="60" spans="1:52" x14ac:dyDescent="0.3">
      <c r="Y60" s="7">
        <f>4/2026-MatrizSeguimientoEvaluacion[[#This Row],[FECHA APROBACIÓN PROYECTO]]</f>
        <v>1.9743336623889436E-3</v>
      </c>
    </row>
    <row r="61" spans="1:52" x14ac:dyDescent="0.3">
      <c r="Y61" s="7">
        <f>4/2026-MatrizSeguimientoEvaluacion[[#This Row],[FECHA APROBACIÓN PROYECTO]]</f>
        <v>1.9743336623889436E-3</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A2" workbookViewId="0">
      <selection activeCell="AM12" sqref="AM12:AO67"/>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21.44140625" customWidth="1"/>
    <col min="40" max="41" width="8.88671875" customWidth="1"/>
  </cols>
  <sheetData>
    <row r="1" spans="1:38" ht="40.049999999999997" customHeight="1" x14ac:dyDescent="0.3">
      <c r="A1" s="12" t="s">
        <v>0</v>
      </c>
      <c r="B1" s="12"/>
      <c r="C1" s="12"/>
      <c r="D1" s="12"/>
      <c r="E1" s="12"/>
      <c r="F1" s="12"/>
      <c r="G1" s="12"/>
      <c r="H1" s="12"/>
      <c r="I1" s="12"/>
      <c r="J1" s="12"/>
      <c r="K1" s="12"/>
      <c r="L1" s="12"/>
      <c r="M1" s="12"/>
      <c r="N1" s="12"/>
      <c r="O1" s="13" t="s">
        <v>1</v>
      </c>
      <c r="P1" s="13"/>
      <c r="Q1" s="13"/>
      <c r="R1" s="13"/>
      <c r="S1" s="13"/>
      <c r="T1" s="13"/>
      <c r="U1" s="13"/>
      <c r="V1" s="13"/>
      <c r="W1" s="13"/>
      <c r="X1" s="13"/>
      <c r="Y1" s="13"/>
      <c r="Z1" s="13"/>
      <c r="AA1" s="13"/>
      <c r="AB1" s="13"/>
      <c r="AC1" s="13"/>
      <c r="AD1" s="13"/>
      <c r="AE1" s="13"/>
      <c r="AF1" s="13"/>
      <c r="AG1" s="14" t="s">
        <v>2</v>
      </c>
      <c r="AH1" s="15"/>
      <c r="AI1" s="15"/>
      <c r="AJ1" s="15"/>
      <c r="AK1" s="15"/>
      <c r="AL1" s="16"/>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hidden="1"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hidden="1"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hidden="1"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hidden="1"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hidden="1"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hidden="1"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hidden="1"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hidden="1"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hidden="1"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108"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hidden="1"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hidden="1"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hidden="1"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hidden="1"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12" t="s">
        <v>0</v>
      </c>
      <c r="B1" s="12"/>
      <c r="C1" s="12"/>
      <c r="D1" s="12"/>
      <c r="E1" s="12"/>
      <c r="F1" s="12"/>
      <c r="G1" s="12"/>
      <c r="H1" s="12"/>
      <c r="I1" s="12"/>
      <c r="J1" s="12"/>
      <c r="K1" s="12"/>
      <c r="L1" s="12"/>
      <c r="M1" s="12"/>
      <c r="N1" s="12"/>
      <c r="O1" s="12"/>
      <c r="P1" s="12"/>
      <c r="Q1" s="12"/>
      <c r="R1" s="12"/>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2026-05-23T21:36:55Z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